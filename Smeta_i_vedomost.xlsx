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" sheetId="1" state="visible" r:id="rId3"/>
    <sheet name="Ведомост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НДС 22 % с 2026 года (изменения НК РФ). Источник: ppt.ru/news/nalogovaya-nagruzka/nds-22-i-drugie-izmeneniya-v-nk-rf-zakon-prinyat</t>
        </r>
      </text>
    </comment>
  </commentList>
</comments>
</file>

<file path=xl/sharedStrings.xml><?xml version="1.0" encoding="utf-8"?>
<sst xmlns="http://schemas.openxmlformats.org/spreadsheetml/2006/main" count="416" uniqueCount="306">
  <si>
    <t xml:space="preserve">Парк на месте болота, Архангельск — сводка сметы</t>
  </si>
  <si>
    <t xml:space="preserve">Синие числа — исходные допущения, их можно менять. Остальное считается формулами.</t>
  </si>
  <si>
    <t xml:space="preserve">Допущения</t>
  </si>
  <si>
    <t xml:space="preserve">Непредвиденные, % от прямых</t>
  </si>
  <si>
    <t xml:space="preserve">Проектирование, % от прямых</t>
  </si>
  <si>
    <t xml:space="preserve">Технадзор, % от прямых</t>
  </si>
  <si>
    <t xml:space="preserve">Экспертиза, % от прямых</t>
  </si>
  <si>
    <t xml:space="preserve">Инженерные изыскания, ₽</t>
  </si>
  <si>
    <t xml:space="preserve">НДС</t>
  </si>
  <si>
    <t xml:space="preserve">Включить ресторан «Тоня» в бюджет (1 — да, 0 — нет)</t>
  </si>
  <si>
    <t xml:space="preserve">Разделы</t>
  </si>
  <si>
    <t xml:space="preserve">Прямые затраты, ₽</t>
  </si>
  <si>
    <t xml:space="preserve">1. Подготовка территории</t>
  </si>
  <si>
    <t xml:space="preserve">2. Водоём из болота: земляные работы и гидротехника</t>
  </si>
  <si>
    <t xml:space="preserve">3. Дороги, площадки, настилы</t>
  </si>
  <si>
    <t xml:space="preserve">4. Здания и сооружения</t>
  </si>
  <si>
    <t xml:space="preserve">5. Детская, спортивная и собачья зоны</t>
  </si>
  <si>
    <t xml:space="preserve">6. Озеленение</t>
  </si>
  <si>
    <t xml:space="preserve">7. Ливневая система и биоинженерия</t>
  </si>
  <si>
    <t xml:space="preserve">8. Инженерные сети и освещение</t>
  </si>
  <si>
    <t xml:space="preserve">9. Малые архитектурные формы и навигация</t>
  </si>
  <si>
    <t xml:space="preserve">10. Ресторан «Тоня» (по умолчанию — за счёт инвестора-арендатора)</t>
  </si>
  <si>
    <t xml:space="preserve">Прямые затраты парка</t>
  </si>
  <si>
    <t xml:space="preserve">Непредвиденные</t>
  </si>
  <si>
    <t xml:space="preserve">Проектирование</t>
  </si>
  <si>
    <t xml:space="preserve">Технадзор</t>
  </si>
  <si>
    <t xml:space="preserve">Экспертиза</t>
  </si>
  <si>
    <t xml:space="preserve">Изыскания</t>
  </si>
  <si>
    <t xml:space="preserve">Итого без НДС</t>
  </si>
  <si>
    <t xml:space="preserve">ИТОГО С НДС</t>
  </si>
  <si>
    <t xml:space="preserve">Ресторан отдельно, с резервами и НДС</t>
  </si>
  <si>
    <t xml:space="preserve">Итог в млн ₽</t>
  </si>
  <si>
    <t xml:space="preserve">№</t>
  </si>
  <si>
    <t xml:space="preserve">Наименование работ и затрат</t>
  </si>
  <si>
    <t xml:space="preserve">Ед.</t>
  </si>
  <si>
    <t xml:space="preserve">Количество</t>
  </si>
  <si>
    <t xml:space="preserve">Цена за ед., ₽</t>
  </si>
  <si>
    <t xml:space="preserve">Сумма, ₽</t>
  </si>
  <si>
    <t xml:space="preserve">Примечание</t>
  </si>
  <si>
    <t xml:space="preserve">1</t>
  </si>
  <si>
    <t xml:space="preserve">Подготовка территории</t>
  </si>
  <si>
    <t xml:space="preserve">1.1</t>
  </si>
  <si>
    <t xml:space="preserve">Ограждение стройплощадки (профнастил H=2 м)</t>
  </si>
  <si>
    <t xml:space="preserve">м</t>
  </si>
  <si>
    <t xml:space="preserve">периметр участка</t>
  </si>
  <si>
    <t xml:space="preserve">1.2</t>
  </si>
  <si>
    <t xml:space="preserve">Расчистка: срезка кустарника и мелколесья, вывоз порубочных остатков и мусора</t>
  </si>
  <si>
    <t xml:space="preserve">м²</t>
  </si>
  <si>
    <t xml:space="preserve">вся суша участка</t>
  </si>
  <si>
    <t xml:space="preserve">1.3</t>
  </si>
  <si>
    <t xml:space="preserve">Геодезическая разбивка и вынос осей в натуру</t>
  </si>
  <si>
    <t xml:space="preserve">вся площадь участка</t>
  </si>
  <si>
    <t xml:space="preserve">1.4</t>
  </si>
  <si>
    <t xml:space="preserve">Временные технологические проезды из дорожных плит (аренда, укладка, демонтаж)</t>
  </si>
  <si>
    <t xml:space="preserve">520 м × 4,5 м</t>
  </si>
  <si>
    <t xml:space="preserve">Итого по разделу</t>
  </si>
  <si>
    <t xml:space="preserve">2</t>
  </si>
  <si>
    <t xml:space="preserve">Водоём из болота: земляные работы и гидротехника</t>
  </si>
  <si>
    <t xml:space="preserve">2.1</t>
  </si>
  <si>
    <t xml:space="preserve">Водопонижение и перемычки: организация сухих карт на акватории</t>
  </si>
  <si>
    <t xml:space="preserve">площадь воды по проекту</t>
  </si>
  <si>
    <t xml:space="preserve">2.2</t>
  </si>
  <si>
    <t xml:space="preserve">Разработка торфа и сапропеля в акватории экскаватором с матов (глубина от 0,30 м до проектной)</t>
  </si>
  <si>
    <t xml:space="preserve">м³</t>
  </si>
  <si>
    <t xml:space="preserve">V = ∫(h проект − 0,30 м) dA</t>
  </si>
  <si>
    <t xml:space="preserve">2.3</t>
  </si>
  <si>
    <t xml:space="preserve">Перемещение торфа на карты подсушки (≤ 250 м), укладка слоями</t>
  </si>
  <si>
    <t xml:space="preserve">2.4</t>
  </si>
  <si>
    <t xml:space="preserve">Отсыпка из торфо-грунтовой смеси: берма, холм башни, подъём отметок зон, откосы берегов</t>
  </si>
  <si>
    <t xml:space="preserve">берма 4 511 + холм 4 222 + подъём 9 525 + откосы 927</t>
  </si>
  <si>
    <t xml:space="preserve">2.5</t>
  </si>
  <si>
    <t xml:space="preserve">Привозной минеральный грунт (дефицит после усадки торфа)</t>
  </si>
  <si>
    <t xml:space="preserve">усадка торфа при подсушке принята 30 %</t>
  </si>
  <si>
    <t xml:space="preserve">2.6</t>
  </si>
  <si>
    <t xml:space="preserve">Профилирование дна и откосов 1:4, шельф 0,45 м</t>
  </si>
  <si>
    <t xml:space="preserve">тонкая планировка под водой</t>
  </si>
  <si>
    <t xml:space="preserve">2.7</t>
  </si>
  <si>
    <t xml:space="preserve">Каскад из 3 ступеней (ЖБ + облицовка природным камнем), перепад 0,9 м</t>
  </si>
  <si>
    <t xml:space="preserve">ст.</t>
  </si>
  <si>
    <t xml:space="preserve">канал 8 м шириной</t>
  </si>
  <si>
    <t xml:space="preserve">2.8</t>
  </si>
  <si>
    <t xml:space="preserve">Укрепление уреза кокосовыми биоваликами Ø30 см</t>
  </si>
  <si>
    <t xml:space="preserve">береговая линия, включая полуостров</t>
  </si>
  <si>
    <t xml:space="preserve">2.9</t>
  </si>
  <si>
    <t xml:space="preserve">Кокосовый биомат на откосах (ширина 2,2 м)</t>
  </si>
  <si>
    <t xml:space="preserve">2.10</t>
  </si>
  <si>
    <t xml:space="preserve">Каменная наброска у пирсов и каскада</t>
  </si>
  <si>
    <t xml:space="preserve">2.11</t>
  </si>
  <si>
    <t xml:space="preserve">Водовыпуск и регулятор уровня (переливной колодец, труба Ø600 в существующий водоотвод)</t>
  </si>
  <si>
    <t xml:space="preserve">компл.</t>
  </si>
  <si>
    <t xml:space="preserve">2.12</t>
  </si>
  <si>
    <t xml:space="preserve">Рециркуляционная насосная станция 30 л/с</t>
  </si>
  <si>
    <t xml:space="preserve">полный оборот воды ≈ 13 сут</t>
  </si>
  <si>
    <t xml:space="preserve">2.13</t>
  </si>
  <si>
    <t xml:space="preserve">Напорный трубопровод ПНД Ø250</t>
  </si>
  <si>
    <t xml:space="preserve">пруд 2 → верховье пруда 1</t>
  </si>
  <si>
    <t xml:space="preserve">2.14</t>
  </si>
  <si>
    <t xml:space="preserve">Донная аэрация (компрессор + диффузоры), пруды 1 и 2</t>
  </si>
  <si>
    <t xml:space="preserve">2.15</t>
  </si>
  <si>
    <t xml:space="preserve">Литораль: водные и прибрежные растения (60 % шельфа, 7 шт/м²)</t>
  </si>
  <si>
    <t xml:space="preserve">шт.</t>
  </si>
  <si>
    <t xml:space="preserve">тростник, рогоз, аир, ирис болотный, сабельник, калужница</t>
  </si>
  <si>
    <t xml:space="preserve">2.16</t>
  </si>
  <si>
    <t xml:space="preserve">Растения глубокой воды: кувшинка белая, кубышка</t>
  </si>
  <si>
    <t xml:space="preserve">2.17</t>
  </si>
  <si>
    <t xml:space="preserve">Биологическая подготовка водоёма: зоопланктон, моллюски-фильтраторы, фитофаги</t>
  </si>
  <si>
    <t xml:space="preserve">3</t>
  </si>
  <si>
    <t xml:space="preserve">Дороги, площадки, настилы</t>
  </si>
  <si>
    <t xml:space="preserve">3.1</t>
  </si>
  <si>
    <t xml:space="preserve">Главные аллеи 3,0 м: цветной асфальтобетон на основании (геосетка, щебень 25 см, ПГС)</t>
  </si>
  <si>
    <t xml:space="preserve">длина 1 107 м</t>
  </si>
  <si>
    <t xml:space="preserve">3.2</t>
  </si>
  <si>
    <t xml:space="preserve">Второстепенные дорожки 2,0–2,5 м: каменная мелочь с вяжущим на геотекстиле</t>
  </si>
  <si>
    <t xml:space="preserve">длина 923 м</t>
  </si>
  <si>
    <t xml:space="preserve">3.3</t>
  </si>
  <si>
    <t xml:space="preserve">Беговая дорожка 3,0 м: EPDM-покрытие по асфальту</t>
  </si>
  <si>
    <t xml:space="preserve">длина 264 м</t>
  </si>
  <si>
    <t xml:space="preserve">3.4</t>
  </si>
  <si>
    <t xml:space="preserve">Входная площадь: гранитная плитка</t>
  </si>
  <si>
    <t xml:space="preserve">3.5</t>
  </si>
  <si>
    <t xml:space="preserve">Деревянные настилы на винтовых сваях (лиственница): мостки, пирсы, мостик каскада, йога-настил</t>
  </si>
  <si>
    <t xml:space="preserve">3.6</t>
  </si>
  <si>
    <t xml:space="preserve">Перила настилов (лиственница)</t>
  </si>
  <si>
    <t xml:space="preserve">с двух сторон</t>
  </si>
  <si>
    <t xml:space="preserve">3.7</t>
  </si>
  <si>
    <t xml:space="preserve">Бортовой камень вдоль главных аллей и площади</t>
  </si>
  <si>
    <t xml:space="preserve">3.8</t>
  </si>
  <si>
    <t xml:space="preserve">Покрытие служебного двора: щебень по геотекстилю</t>
  </si>
  <si>
    <t xml:space="preserve">3.9</t>
  </si>
  <si>
    <t xml:space="preserve">Хозяйственный проезд к ресторану (асфальтобетон по щебню, совмещён с пожарным)</t>
  </si>
  <si>
    <t xml:space="preserve">66 м от проспекта + двор</t>
  </si>
  <si>
    <t xml:space="preserve">3.10</t>
  </si>
  <si>
    <t xml:space="preserve">Подходы к павильонам и ресторану (плитка)</t>
  </si>
  <si>
    <t xml:space="preserve">4</t>
  </si>
  <si>
    <t xml:space="preserve">Здания и сооружения</t>
  </si>
  <si>
    <t xml:space="preserve">4.1</t>
  </si>
  <si>
    <t xml:space="preserve">Смотровая башня H = 18 м (дерево/сталь, 2 площадки), на холме 7 м</t>
  </si>
  <si>
    <t xml:space="preserve">фундамент — винтовые сваи через насыпь</t>
  </si>
  <si>
    <t xml:space="preserve">4.2</t>
  </si>
  <si>
    <t xml:space="preserve">Входной павильон-навес (с кассой и информацией)</t>
  </si>
  <si>
    <t xml:space="preserve">4.3</t>
  </si>
  <si>
    <t xml:space="preserve">Павильон у воды</t>
  </si>
  <si>
    <t xml:space="preserve">4.4</t>
  </si>
  <si>
    <t xml:space="preserve">Кафе-киоски</t>
  </si>
  <si>
    <t xml:space="preserve">2 шт.</t>
  </si>
  <si>
    <t xml:space="preserve">4.5</t>
  </si>
  <si>
    <t xml:space="preserve">Павильоны-туалеты «Северная летопись» 8,4 × 4,8 м: клеть с повалом, высокая кровля, 4 кабины (1 универсальная для МГН), тёплые</t>
  </si>
  <si>
    <t xml:space="preserve">каркас и брус, утепление 200 мм, электроотопление, резьба и медальоны</t>
  </si>
  <si>
    <t xml:space="preserve">4.6</t>
  </si>
  <si>
    <t xml:space="preserve">Хоз. блок и склад</t>
  </si>
  <si>
    <t xml:space="preserve">4.7</t>
  </si>
  <si>
    <t xml:space="preserve">Мастерская «Поморская ладья» 10 × 6 м, высота до 3,2 м (деревянные рёбра, кровля)</t>
  </si>
  <si>
    <t xml:space="preserve">кровля и опоры по расчёту на снег</t>
  </si>
  <si>
    <t xml:space="preserve">4.8</t>
  </si>
  <si>
    <t xml:space="preserve">Крытые галереи с двускатной кровлей, подкосами и резными деталями (4 шт.)</t>
  </si>
  <si>
    <t xml:space="preserve">52 + 50 + 50 + 49 м</t>
  </si>
  <si>
    <t xml:space="preserve">5</t>
  </si>
  <si>
    <t xml:space="preserve">Детская, спортивная и собачья зоны</t>
  </si>
  <si>
    <t xml:space="preserve">5.1</t>
  </si>
  <si>
    <t xml:space="preserve">Игровой комплекс «Башни–мост» (лиственница)</t>
  </si>
  <si>
    <t xml:space="preserve">5.2</t>
  </si>
  <si>
    <t xml:space="preserve">Канатный городок</t>
  </si>
  <si>
    <t xml:space="preserve">5.3</t>
  </si>
  <si>
    <t xml:space="preserve">Качели-гнёзда и балансиры</t>
  </si>
  <si>
    <t xml:space="preserve">5.4</t>
  </si>
  <si>
    <t xml:space="preserve">Песочный двор</t>
  </si>
  <si>
    <t xml:space="preserve">5.5</t>
  </si>
  <si>
    <t xml:space="preserve">Сплэш-пад с рециркуляцией воды</t>
  </si>
  <si>
    <t xml:space="preserve">5.6</t>
  </si>
  <si>
    <t xml:space="preserve">Резиновое покрытие EPDM игровых площадок</t>
  </si>
  <si>
    <t xml:space="preserve">5.7</t>
  </si>
  <si>
    <t xml:space="preserve">Теневой парус</t>
  </si>
  <si>
    <t xml:space="preserve">5.8</t>
  </si>
  <si>
    <t xml:space="preserve">Воркаут и уличные тренажёры</t>
  </si>
  <si>
    <t xml:space="preserve">5.9</t>
  </si>
  <si>
    <t xml:space="preserve">Волейбольная площадка (песок, сетка, ограждение)</t>
  </si>
  <si>
    <t xml:space="preserve">5.10</t>
  </si>
  <si>
    <t xml:space="preserve">Площадка для собак: ограждение 2 м</t>
  </si>
  <si>
    <t xml:space="preserve">5.11</t>
  </si>
  <si>
    <t xml:space="preserve">Площадка для собак: оборудование и поилки</t>
  </si>
  <si>
    <t xml:space="preserve">6</t>
  </si>
  <si>
    <t xml:space="preserve">Озеленение</t>
  </si>
  <si>
    <t xml:space="preserve">6.1</t>
  </si>
  <si>
    <t xml:space="preserve">Берёза повислая и пушистая (Betula pendula, B. pubescens)</t>
  </si>
  <si>
    <t xml:space="preserve">посадка с комом, в т.ч. яма и подвязка</t>
  </si>
  <si>
    <t xml:space="preserve">6.2</t>
  </si>
  <si>
    <t xml:space="preserve">Яблоня ягодная (Malus baccata), h 2,5–3 м</t>
  </si>
  <si>
    <t xml:space="preserve">6.3</t>
  </si>
  <si>
    <t xml:space="preserve">Сосна обыкновенная (Pinus sylvestris), h 3 м</t>
  </si>
  <si>
    <t xml:space="preserve">6.4</t>
  </si>
  <si>
    <t xml:space="preserve">Ель европейская и сибирская (Picea abies, P. obovata), h 3,0–3,5 м</t>
  </si>
  <si>
    <t xml:space="preserve">6.5</t>
  </si>
  <si>
    <t xml:space="preserve">Ольха серая (Alnus incana)</t>
  </si>
  <si>
    <t xml:space="preserve">6.6</t>
  </si>
  <si>
    <t xml:space="preserve">Черёмуха обыкновенная (Prunus padus)</t>
  </si>
  <si>
    <t xml:space="preserve">6.7</t>
  </si>
  <si>
    <t xml:space="preserve">Сосна кедровая сибирская (Pinus sibirica), h 2–2,5 м</t>
  </si>
  <si>
    <t xml:space="preserve">6.8</t>
  </si>
  <si>
    <t xml:space="preserve">Ива козья и пятитычинковая (Salix caprea, S. pentandra)</t>
  </si>
  <si>
    <t xml:space="preserve">6.9</t>
  </si>
  <si>
    <t xml:space="preserve">Лиственница сибирская (Larix sibirica)</t>
  </si>
  <si>
    <t xml:space="preserve">6.10</t>
  </si>
  <si>
    <t xml:space="preserve">Рябина обыкновенная (Sorbus aucuparia)</t>
  </si>
  <si>
    <t xml:space="preserve">6.11</t>
  </si>
  <si>
    <t xml:space="preserve">Кустарники в куртинах (дерен белый, спирея, шиповник морщинистый, ива, можжевельник)</t>
  </si>
  <si>
    <t xml:space="preserve">168 куртин по 12 м², 10 шт/куртину</t>
  </si>
  <si>
    <t xml:space="preserve">6.12</t>
  </si>
  <si>
    <t xml:space="preserve">Живая изгородь (дерен белый)</t>
  </si>
  <si>
    <t xml:space="preserve">6.13</t>
  </si>
  <si>
    <t xml:space="preserve">Многолетники: сад опылителей, цветники у входа и детской зоны</t>
  </si>
  <si>
    <t xml:space="preserve">6.14</t>
  </si>
  <si>
    <t xml:space="preserve">Прибрежная полоса 4 м: влаголюбивые многолетники и осоки</t>
  </si>
  <si>
    <t xml:space="preserve">по документации: 3–5 м</t>
  </si>
  <si>
    <t xml:space="preserve">6.15</t>
  </si>
  <si>
    <t xml:space="preserve">Газон посевной</t>
  </si>
  <si>
    <t xml:space="preserve">6.16</t>
  </si>
  <si>
    <t xml:space="preserve">Луг (разнотравье местных видов)</t>
  </si>
  <si>
    <t xml:space="preserve">6.17</t>
  </si>
  <si>
    <t xml:space="preserve">Растительный грунт: торфо-песчаная смесь</t>
  </si>
  <si>
    <t xml:space="preserve">газон 0,2 м; цветники 0,4 м; ямы 1,5 м³; биоканавы 0,5 м</t>
  </si>
  <si>
    <t xml:space="preserve">6.18</t>
  </si>
  <si>
    <t xml:space="preserve">Автоматический полив газонов и цветников</t>
  </si>
  <si>
    <t xml:space="preserve">6.19</t>
  </si>
  <si>
    <t xml:space="preserve">Гарантийный уход за посадками 24 мес.</t>
  </si>
  <si>
    <t xml:space="preserve">6.20</t>
  </si>
  <si>
    <t xml:space="preserve">Берёза карликовая (ерник, Betula nana) в группах-стланцах</t>
  </si>
  <si>
    <t xml:space="preserve">72 групп по 5–9 шт.</t>
  </si>
  <si>
    <t xml:space="preserve">6.21</t>
  </si>
  <si>
    <t xml:space="preserve">Стланиковые формы берёзы пушистой, крупномерные, с формировкой кроны</t>
  </si>
  <si>
    <t xml:space="preserve">у воды, у фигур и станции</t>
  </si>
  <si>
    <t xml:space="preserve">7</t>
  </si>
  <si>
    <t xml:space="preserve">Ливневая система и биоинженерия</t>
  </si>
  <si>
    <t xml:space="preserve">7.1</t>
  </si>
  <si>
    <t xml:space="preserve">Биоканавы (шир. 3 м, фильтрующая загрузка)</t>
  </si>
  <si>
    <t xml:space="preserve">по документации ≥ 2 м</t>
  </si>
  <si>
    <t xml:space="preserve">7.2</t>
  </si>
  <si>
    <t xml:space="preserve">Дождевые сады</t>
  </si>
  <si>
    <t xml:space="preserve">6 шт.</t>
  </si>
  <si>
    <t xml:space="preserve">7.3</t>
  </si>
  <si>
    <t xml:space="preserve">Водопропуски и перетоки Ø400</t>
  </si>
  <si>
    <t xml:space="preserve">7.4</t>
  </si>
  <si>
    <t xml:space="preserve">Дренаж вдоль аллей (труба Ø110 в геотекстиле, песчаная подушка)</t>
  </si>
  <si>
    <t xml:space="preserve">по документации</t>
  </si>
  <si>
    <t xml:space="preserve">8</t>
  </si>
  <si>
    <t xml:space="preserve">Инженерные сети и освещение</t>
  </si>
  <si>
    <t xml:space="preserve">8.1</t>
  </si>
  <si>
    <t xml:space="preserve">Электроснабжение: КТП, ВРУ, подключение</t>
  </si>
  <si>
    <t xml:space="preserve">8.2</t>
  </si>
  <si>
    <t xml:space="preserve">Кабельные линии освещения в траншее</t>
  </si>
  <si>
    <t xml:space="preserve">8.3</t>
  </si>
  <si>
    <t xml:space="preserve">Опоры освещения LED H = 4 м</t>
  </si>
  <si>
    <t xml:space="preserve">8.4</t>
  </si>
  <si>
    <t xml:space="preserve">Подсветка башни, пирсов и каскада</t>
  </si>
  <si>
    <t xml:space="preserve">8.5</t>
  </si>
  <si>
    <t xml:space="preserve">Водопровод В1 и канализация К1 к павильонам-туалетам, ресторану и киоскам</t>
  </si>
  <si>
    <t xml:space="preserve">в т. ч. греющий кабель и утепление труб (промерзание)</t>
  </si>
  <si>
    <t xml:space="preserve">8.6</t>
  </si>
  <si>
    <t xml:space="preserve">Видеонаблюдение и Wi-Fi</t>
  </si>
  <si>
    <t xml:space="preserve">опоры с камерами</t>
  </si>
  <si>
    <t xml:space="preserve">8.7</t>
  </si>
  <si>
    <t xml:space="preserve">Локальные канализационные насосные станции (низкие отметки бывшего болота)</t>
  </si>
  <si>
    <t xml:space="preserve">по результатам изысканий</t>
  </si>
  <si>
    <t xml:space="preserve">8.8</t>
  </si>
  <si>
    <t xml:space="preserve">Электроснабжение ресторана и павильонов: кабели, щиты, учёт</t>
  </si>
  <si>
    <t xml:space="preserve">отопление павильонов круглый год</t>
  </si>
  <si>
    <t xml:space="preserve">9</t>
  </si>
  <si>
    <t xml:space="preserve">Малые архитектурные формы и навигация</t>
  </si>
  <si>
    <t xml:space="preserve">9.1</t>
  </si>
  <si>
    <t xml:space="preserve">Скамьи (лиственница, сталь)</t>
  </si>
  <si>
    <t xml:space="preserve">9.2</t>
  </si>
  <si>
    <t xml:space="preserve">Урны</t>
  </si>
  <si>
    <t xml:space="preserve">9.3</t>
  </si>
  <si>
    <t xml:space="preserve">Информационные стенды и навигация</t>
  </si>
  <si>
    <t xml:space="preserve">9.4</t>
  </si>
  <si>
    <t xml:space="preserve">Велопарковки</t>
  </si>
  <si>
    <t xml:space="preserve">9.5</t>
  </si>
  <si>
    <t xml:space="preserve">Питьевые фонтанчики</t>
  </si>
  <si>
    <t xml:space="preserve">9.6</t>
  </si>
  <si>
    <t xml:space="preserve">Домики для птиц и отели для насекомых</t>
  </si>
  <si>
    <t xml:space="preserve">9.7</t>
  </si>
  <si>
    <t xml:space="preserve">Деревянные фигуры «Северные истории»: птица, конь, морской зверь (до 3,2 м)</t>
  </si>
  <si>
    <t xml:space="preserve">резьба, защита торцов, основания</t>
  </si>
  <si>
    <t xml:space="preserve">9.8</t>
  </si>
  <si>
    <t xml:space="preserve">Таблички сказочного маршрута «Северные истории»</t>
  </si>
  <si>
    <t xml:space="preserve">авторские тексты</t>
  </si>
  <si>
    <t xml:space="preserve">9.9</t>
  </si>
  <si>
    <t xml:space="preserve">Станция «Следы леса» 7 × 5 м: рельефные следы, сезонная карта, механический счётчик, стела 2,2 м</t>
  </si>
  <si>
    <t xml:space="preserve">без электроники</t>
  </si>
  <si>
    <t xml:space="preserve">9.10</t>
  </si>
  <si>
    <t xml:space="preserve">Резные медальоны и панели «Северная летопись» для павильонов</t>
  </si>
  <si>
    <t xml:space="preserve">резьба, роспись, тексты</t>
  </si>
  <si>
    <t xml:space="preserve">10</t>
  </si>
  <si>
    <t xml:space="preserve">Ресторан «Тоня» (по умолчанию — за счёт инвестора-арендатора)</t>
  </si>
  <si>
    <t xml:space="preserve">10.1</t>
  </si>
  <si>
    <t xml:space="preserve">Ресторан «Тоня» — дом-кошель 26 × 15 м с мансардой: каркас, клеёный брус, кровля, отделка</t>
  </si>
  <si>
    <t xml:space="preserve">зал 80 мест, мансарда 36 мест</t>
  </si>
  <si>
    <t xml:space="preserve">10.2</t>
  </si>
  <si>
    <t xml:space="preserve">Ресторан: инженерные системы, вентиляция кухни, ИТП</t>
  </si>
  <si>
    <t xml:space="preserve">общая площадь ≈ 585 м²</t>
  </si>
  <si>
    <t xml:space="preserve">10.3</t>
  </si>
  <si>
    <t xml:space="preserve">Технологическое оборудование кухни</t>
  </si>
  <si>
    <t xml:space="preserve">обычно за счёт оператора</t>
  </si>
  <si>
    <t xml:space="preserve">10.4</t>
  </si>
  <si>
    <t xml:space="preserve">Летняя терраса над склоном к пруду (лиственница, ограждение)</t>
  </si>
  <si>
    <t xml:space="preserve">56 мест, винтовые сваи</t>
  </si>
  <si>
    <t xml:space="preserve">Количества взяты из геометрии генплана; цены за единицу — допущения 2026 г. на уровне Москвы, без северного коэффициента Архангельска.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</si>
</sst>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"/>
    <numFmt numFmtId="167" formatCode="0"/>
    <numFmt numFmtId="168" formatCode="#,##0.0"/>
    <numFmt numFmtId="169" formatCode="#,##0.0#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66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55665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5A44"/>
        <bgColor rgb="FF55665C"/>
      </patternFill>
    </fill>
    <fill>
      <patternFill patternType="solid">
        <fgColor rgb="FFE4EAD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C8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8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A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0.12</v>
      </c>
    </row>
    <row r="6" customFormat="false" ht="15" hidden="false" customHeight="false" outlineLevel="0" collapsed="false">
      <c r="A6" s="4" t="s">
        <v>4</v>
      </c>
      <c r="B6" s="5" t="n">
        <v>0.06</v>
      </c>
    </row>
    <row r="7" customFormat="false" ht="15" hidden="false" customHeight="false" outlineLevel="0" collapsed="false">
      <c r="A7" s="4" t="s">
        <v>5</v>
      </c>
      <c r="B7" s="5" t="n">
        <v>0.03</v>
      </c>
    </row>
    <row r="8" customFormat="false" ht="15" hidden="false" customHeight="false" outlineLevel="0" collapsed="false">
      <c r="A8" s="4" t="s">
        <v>6</v>
      </c>
      <c r="B8" s="5" t="n">
        <v>0.008</v>
      </c>
    </row>
    <row r="9" customFormat="false" ht="15" hidden="false" customHeight="false" outlineLevel="0" collapsed="false">
      <c r="A9" s="4" t="s">
        <v>7</v>
      </c>
      <c r="B9" s="6" t="n">
        <v>4200000</v>
      </c>
    </row>
    <row r="10" customFormat="false" ht="15" hidden="false" customHeight="false" outlineLevel="0" collapsed="false">
      <c r="A10" s="4" t="s">
        <v>8</v>
      </c>
      <c r="B10" s="5" t="n">
        <v>0.22</v>
      </c>
    </row>
    <row r="11" customFormat="false" ht="15" hidden="false" customHeight="false" outlineLevel="0" collapsed="false">
      <c r="A11" s="4" t="s">
        <v>9</v>
      </c>
      <c r="B11" s="7" t="n">
        <v>0</v>
      </c>
    </row>
    <row r="14" customFormat="false" ht="15" hidden="false" customHeight="false" outlineLevel="0" collapsed="false">
      <c r="A14" s="3" t="s">
        <v>10</v>
      </c>
      <c r="B14" s="3" t="s">
        <v>11</v>
      </c>
    </row>
    <row r="15" customFormat="false" ht="15" hidden="false" customHeight="false" outlineLevel="0" collapsed="false">
      <c r="A15" s="4" t="s">
        <v>12</v>
      </c>
      <c r="B15" s="8" t="n">
        <f aca="false">Ведомость!F7</f>
        <v>8082670.5</v>
      </c>
    </row>
    <row r="16" customFormat="false" ht="15" hidden="false" customHeight="false" outlineLevel="0" collapsed="false">
      <c r="A16" s="4" t="s">
        <v>13</v>
      </c>
      <c r="B16" s="8" t="n">
        <f aca="false">Ведомость!F27</f>
        <v>58214436</v>
      </c>
    </row>
    <row r="17" customFormat="false" ht="15" hidden="false" customHeight="false" outlineLevel="0" collapsed="false">
      <c r="A17" s="4" t="s">
        <v>14</v>
      </c>
      <c r="B17" s="8" t="n">
        <f aca="false">Ведомость!F40</f>
        <v>64668805</v>
      </c>
    </row>
    <row r="18" customFormat="false" ht="15" hidden="false" customHeight="false" outlineLevel="0" collapsed="false">
      <c r="A18" s="4" t="s">
        <v>15</v>
      </c>
      <c r="B18" s="8" t="n">
        <f aca="false">Ведомость!F51</f>
        <v>104872000</v>
      </c>
    </row>
    <row r="19" customFormat="false" ht="15" hidden="false" customHeight="false" outlineLevel="0" collapsed="false">
      <c r="A19" s="4" t="s">
        <v>16</v>
      </c>
      <c r="B19" s="8" t="n">
        <f aca="false">Ведомость!F65</f>
        <v>18555750</v>
      </c>
    </row>
    <row r="20" customFormat="false" ht="15" hidden="false" customHeight="false" outlineLevel="0" collapsed="false">
      <c r="A20" s="4" t="s">
        <v>17</v>
      </c>
      <c r="B20" s="8" t="n">
        <f aca="false">Ведомость!F89</f>
        <v>60630636.5</v>
      </c>
    </row>
    <row r="21" customFormat="false" ht="15" hidden="false" customHeight="false" outlineLevel="0" collapsed="false">
      <c r="A21" s="4" t="s">
        <v>18</v>
      </c>
      <c r="B21" s="8" t="n">
        <f aca="false">Ведомость!F96</f>
        <v>12242050</v>
      </c>
    </row>
    <row r="22" customFormat="false" ht="15" hidden="false" customHeight="false" outlineLevel="0" collapsed="false">
      <c r="A22" s="4" t="s">
        <v>19</v>
      </c>
      <c r="B22" s="8" t="n">
        <f aca="false">Ведомость!F107</f>
        <v>27989035</v>
      </c>
    </row>
    <row r="23" customFormat="false" ht="15" hidden="false" customHeight="false" outlineLevel="0" collapsed="false">
      <c r="A23" s="4" t="s">
        <v>20</v>
      </c>
      <c r="B23" s="8" t="n">
        <f aca="false">Ведомость!F120</f>
        <v>13509000</v>
      </c>
    </row>
    <row r="24" customFormat="false" ht="15" hidden="false" customHeight="false" outlineLevel="0" collapsed="false">
      <c r="A24" s="4" t="s">
        <v>21</v>
      </c>
      <c r="B24" s="8" t="n">
        <f aca="false">Ведомость!F127</f>
        <v>127228000</v>
      </c>
    </row>
    <row r="26" customFormat="false" ht="15" hidden="false" customHeight="false" outlineLevel="0" collapsed="false">
      <c r="A26" s="3" t="s">
        <v>22</v>
      </c>
      <c r="B26" s="9" t="n">
        <f aca="false">SUM(B15:B23)+B24*$B$11</f>
        <v>368764383</v>
      </c>
    </row>
    <row r="27" customFormat="false" ht="15" hidden="false" customHeight="false" outlineLevel="0" collapsed="false">
      <c r="A27" s="4" t="s">
        <v>23</v>
      </c>
      <c r="B27" s="10" t="n">
        <f aca="false">B26*$B$5</f>
        <v>44251725.96</v>
      </c>
    </row>
    <row r="28" customFormat="false" ht="15" hidden="false" customHeight="false" outlineLevel="0" collapsed="false">
      <c r="A28" s="4" t="s">
        <v>24</v>
      </c>
      <c r="B28" s="10" t="n">
        <f aca="false">B26*$B$6</f>
        <v>22125862.98</v>
      </c>
    </row>
    <row r="29" customFormat="false" ht="15" hidden="false" customHeight="false" outlineLevel="0" collapsed="false">
      <c r="A29" s="4" t="s">
        <v>25</v>
      </c>
      <c r="B29" s="10" t="n">
        <f aca="false">B26*$B$7</f>
        <v>11062931.49</v>
      </c>
    </row>
    <row r="30" customFormat="false" ht="15" hidden="false" customHeight="false" outlineLevel="0" collapsed="false">
      <c r="A30" s="4" t="s">
        <v>26</v>
      </c>
      <c r="B30" s="10" t="n">
        <f aca="false">B26*$B$8</f>
        <v>2950115.064</v>
      </c>
    </row>
    <row r="31" customFormat="false" ht="15" hidden="false" customHeight="false" outlineLevel="0" collapsed="false">
      <c r="A31" s="4" t="s">
        <v>27</v>
      </c>
      <c r="B31" s="10" t="n">
        <f aca="false">$B$9</f>
        <v>4200000</v>
      </c>
    </row>
    <row r="32" customFormat="false" ht="15" hidden="false" customHeight="false" outlineLevel="0" collapsed="false">
      <c r="A32" s="3" t="s">
        <v>28</v>
      </c>
      <c r="B32" s="9" t="n">
        <f aca="false">SUM(B26:B31)</f>
        <v>453355018.494</v>
      </c>
    </row>
    <row r="33" customFormat="false" ht="15" hidden="false" customHeight="false" outlineLevel="0" collapsed="false">
      <c r="A33" s="4" t="s">
        <v>8</v>
      </c>
      <c r="B33" s="10" t="n">
        <f aca="false">B32*$B$10</f>
        <v>99738104.06868</v>
      </c>
    </row>
    <row r="34" customFormat="false" ht="15" hidden="false" customHeight="false" outlineLevel="0" collapsed="false">
      <c r="A34" s="3" t="s">
        <v>29</v>
      </c>
      <c r="B34" s="9" t="n">
        <f aca="false">B32+B33</f>
        <v>553093122.56268</v>
      </c>
    </row>
    <row r="36" customFormat="false" ht="15" hidden="false" customHeight="false" outlineLevel="0" collapsed="false">
      <c r="A36" s="4" t="s">
        <v>30</v>
      </c>
      <c r="B36" s="10" t="n">
        <f aca="false">B24*(1+$B$5+$B$6+$B$7+$B$8)*(1+$B$10)</f>
        <v>189055718.88</v>
      </c>
    </row>
    <row r="37" customFormat="false" ht="15" hidden="false" customHeight="false" outlineLevel="0" collapsed="false">
      <c r="A37" s="3" t="s">
        <v>31</v>
      </c>
      <c r="B37" s="11" t="n">
        <f aca="false">B34/1000000</f>
        <v>553.09312256268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</row>
    <row r="2" customFormat="false" ht="15" hidden="false" customHeight="false" outlineLevel="0" collapsed="false">
      <c r="A2" s="13" t="s">
        <v>39</v>
      </c>
      <c r="B2" s="13" t="s">
        <v>40</v>
      </c>
      <c r="C2" s="14"/>
      <c r="D2" s="14"/>
      <c r="E2" s="14"/>
      <c r="F2" s="14"/>
      <c r="G2" s="14"/>
    </row>
    <row r="3" customFormat="false" ht="15" hidden="false" customHeight="false" outlineLevel="0" collapsed="false">
      <c r="A3" s="4" t="s">
        <v>41</v>
      </c>
      <c r="B3" s="15" t="s">
        <v>42</v>
      </c>
      <c r="C3" s="4" t="s">
        <v>43</v>
      </c>
      <c r="D3" s="16" t="n">
        <v>1306.6</v>
      </c>
      <c r="E3" s="6" t="n">
        <v>1150</v>
      </c>
      <c r="F3" s="10" t="n">
        <f aca="false">D3*E3</f>
        <v>1502590</v>
      </c>
      <c r="G3" s="17" t="s">
        <v>44</v>
      </c>
    </row>
    <row r="4" customFormat="false" ht="15" hidden="false" customHeight="false" outlineLevel="0" collapsed="false">
      <c r="A4" s="4" t="s">
        <v>45</v>
      </c>
      <c r="B4" s="15" t="s">
        <v>46</v>
      </c>
      <c r="C4" s="4" t="s">
        <v>47</v>
      </c>
      <c r="D4" s="16" t="n">
        <v>78194.5</v>
      </c>
      <c r="E4" s="6" t="n">
        <v>38</v>
      </c>
      <c r="F4" s="10" t="n">
        <f aca="false">D4*E4</f>
        <v>2971391</v>
      </c>
      <c r="G4" s="17" t="s">
        <v>48</v>
      </c>
    </row>
    <row r="5" customFormat="false" ht="15" hidden="false" customHeight="false" outlineLevel="0" collapsed="false">
      <c r="A5" s="4" t="s">
        <v>49</v>
      </c>
      <c r="B5" s="15" t="s">
        <v>50</v>
      </c>
      <c r="C5" s="4" t="s">
        <v>47</v>
      </c>
      <c r="D5" s="16" t="n">
        <v>101965.5</v>
      </c>
      <c r="E5" s="6" t="n">
        <v>9</v>
      </c>
      <c r="F5" s="10" t="n">
        <f aca="false">D5*E5</f>
        <v>917689.5</v>
      </c>
      <c r="G5" s="17" t="s">
        <v>51</v>
      </c>
    </row>
    <row r="6" customFormat="false" ht="23.85" hidden="false" customHeight="false" outlineLevel="0" collapsed="false">
      <c r="A6" s="4" t="s">
        <v>52</v>
      </c>
      <c r="B6" s="15" t="s">
        <v>53</v>
      </c>
      <c r="C6" s="4" t="s">
        <v>47</v>
      </c>
      <c r="D6" s="16" t="n">
        <v>2340</v>
      </c>
      <c r="E6" s="6" t="n">
        <v>1150</v>
      </c>
      <c r="F6" s="10" t="n">
        <f aca="false">D6*E6</f>
        <v>2691000</v>
      </c>
      <c r="G6" s="17" t="s">
        <v>54</v>
      </c>
    </row>
    <row r="7" customFormat="false" ht="15" hidden="false" customHeight="false" outlineLevel="0" collapsed="false">
      <c r="A7" s="18"/>
      <c r="B7" s="19" t="s">
        <v>55</v>
      </c>
      <c r="C7" s="18"/>
      <c r="D7" s="18"/>
      <c r="E7" s="18"/>
      <c r="F7" s="20" t="n">
        <f aca="false">SUM(F3:F6)</f>
        <v>8082670.5</v>
      </c>
      <c r="G7" s="18"/>
    </row>
    <row r="9" customFormat="false" ht="15" hidden="false" customHeight="false" outlineLevel="0" collapsed="false">
      <c r="A9" s="13" t="s">
        <v>56</v>
      </c>
      <c r="B9" s="13" t="s">
        <v>57</v>
      </c>
      <c r="C9" s="14"/>
      <c r="D9" s="14"/>
      <c r="E9" s="14"/>
      <c r="F9" s="14"/>
      <c r="G9" s="14"/>
    </row>
    <row r="10" customFormat="false" ht="15" hidden="false" customHeight="false" outlineLevel="0" collapsed="false">
      <c r="A10" s="4" t="s">
        <v>58</v>
      </c>
      <c r="B10" s="15" t="s">
        <v>59</v>
      </c>
      <c r="C10" s="4" t="s">
        <v>47</v>
      </c>
      <c r="D10" s="16" t="n">
        <v>23771</v>
      </c>
      <c r="E10" s="6" t="n">
        <v>95</v>
      </c>
      <c r="F10" s="10" t="n">
        <f aca="false">D10*E10</f>
        <v>2258245</v>
      </c>
      <c r="G10" s="17" t="s">
        <v>60</v>
      </c>
    </row>
    <row r="11" customFormat="false" ht="23.85" hidden="false" customHeight="false" outlineLevel="0" collapsed="false">
      <c r="A11" s="4" t="s">
        <v>61</v>
      </c>
      <c r="B11" s="15" t="s">
        <v>62</v>
      </c>
      <c r="C11" s="4" t="s">
        <v>63</v>
      </c>
      <c r="D11" s="16" t="n">
        <v>26873.8</v>
      </c>
      <c r="E11" s="6" t="n">
        <v>640</v>
      </c>
      <c r="F11" s="10" t="n">
        <f aca="false">D11*E11</f>
        <v>17199232</v>
      </c>
      <c r="G11" s="17" t="s">
        <v>64</v>
      </c>
    </row>
    <row r="12" customFormat="false" ht="15" hidden="false" customHeight="false" outlineLevel="0" collapsed="false">
      <c r="A12" s="4" t="s">
        <v>65</v>
      </c>
      <c r="B12" s="15" t="s">
        <v>66</v>
      </c>
      <c r="C12" s="4" t="s">
        <v>63</v>
      </c>
      <c r="D12" s="16" t="n">
        <v>26873.8</v>
      </c>
      <c r="E12" s="6" t="n">
        <v>310</v>
      </c>
      <c r="F12" s="10" t="n">
        <f aca="false">D12*E12</f>
        <v>8330878</v>
      </c>
      <c r="G12" s="17"/>
    </row>
    <row r="13" customFormat="false" ht="23.85" hidden="false" customHeight="false" outlineLevel="0" collapsed="false">
      <c r="A13" s="4" t="s">
        <v>67</v>
      </c>
      <c r="B13" s="15" t="s">
        <v>68</v>
      </c>
      <c r="C13" s="4" t="s">
        <v>63</v>
      </c>
      <c r="D13" s="16" t="n">
        <v>19184.9</v>
      </c>
      <c r="E13" s="6" t="n">
        <v>540</v>
      </c>
      <c r="F13" s="10" t="n">
        <f aca="false">D13*E13</f>
        <v>10359846</v>
      </c>
      <c r="G13" s="17" t="s">
        <v>69</v>
      </c>
    </row>
    <row r="14" customFormat="false" ht="15" hidden="false" customHeight="false" outlineLevel="0" collapsed="false">
      <c r="A14" s="4" t="s">
        <v>70</v>
      </c>
      <c r="B14" s="15" t="s">
        <v>71</v>
      </c>
      <c r="C14" s="4" t="s">
        <v>63</v>
      </c>
      <c r="D14" s="16" t="n">
        <v>373.2</v>
      </c>
      <c r="E14" s="6" t="n">
        <v>980</v>
      </c>
      <c r="F14" s="10" t="n">
        <f aca="false">D14*E14</f>
        <v>365736</v>
      </c>
      <c r="G14" s="17" t="s">
        <v>72</v>
      </c>
    </row>
    <row r="15" customFormat="false" ht="15" hidden="false" customHeight="false" outlineLevel="0" collapsed="false">
      <c r="A15" s="4" t="s">
        <v>73</v>
      </c>
      <c r="B15" s="15" t="s">
        <v>74</v>
      </c>
      <c r="C15" s="4" t="s">
        <v>47</v>
      </c>
      <c r="D15" s="16" t="n">
        <v>23771</v>
      </c>
      <c r="E15" s="6" t="n">
        <v>85</v>
      </c>
      <c r="F15" s="10" t="n">
        <f aca="false">D15*E15</f>
        <v>2020535</v>
      </c>
      <c r="G15" s="17" t="s">
        <v>75</v>
      </c>
    </row>
    <row r="16" customFormat="false" ht="15" hidden="false" customHeight="false" outlineLevel="0" collapsed="false">
      <c r="A16" s="4" t="s">
        <v>76</v>
      </c>
      <c r="B16" s="15" t="s">
        <v>77</v>
      </c>
      <c r="C16" s="4" t="s">
        <v>78</v>
      </c>
      <c r="D16" s="16" t="n">
        <v>3</v>
      </c>
      <c r="E16" s="6" t="n">
        <v>1150000</v>
      </c>
      <c r="F16" s="10" t="n">
        <f aca="false">D16*E16</f>
        <v>3450000</v>
      </c>
      <c r="G16" s="17" t="s">
        <v>79</v>
      </c>
    </row>
    <row r="17" customFormat="false" ht="15" hidden="false" customHeight="false" outlineLevel="0" collapsed="false">
      <c r="A17" s="4" t="s">
        <v>80</v>
      </c>
      <c r="B17" s="15" t="s">
        <v>81</v>
      </c>
      <c r="C17" s="4" t="s">
        <v>43</v>
      </c>
      <c r="D17" s="16" t="n">
        <v>1287</v>
      </c>
      <c r="E17" s="6" t="n">
        <v>1250</v>
      </c>
      <c r="F17" s="10" t="n">
        <f aca="false">D17*E17</f>
        <v>1608750</v>
      </c>
      <c r="G17" s="17" t="s">
        <v>82</v>
      </c>
    </row>
    <row r="18" customFormat="false" ht="15" hidden="false" customHeight="false" outlineLevel="0" collapsed="false">
      <c r="A18" s="4" t="s">
        <v>83</v>
      </c>
      <c r="B18" s="15" t="s">
        <v>84</v>
      </c>
      <c r="C18" s="4" t="s">
        <v>47</v>
      </c>
      <c r="D18" s="16" t="n">
        <v>2831.5</v>
      </c>
      <c r="E18" s="6" t="n">
        <v>410</v>
      </c>
      <c r="F18" s="10" t="n">
        <f aca="false">D18*E18</f>
        <v>1160915</v>
      </c>
      <c r="G18" s="17"/>
    </row>
    <row r="19" customFormat="false" ht="15" hidden="false" customHeight="false" outlineLevel="0" collapsed="false">
      <c r="A19" s="4" t="s">
        <v>85</v>
      </c>
      <c r="B19" s="15" t="s">
        <v>86</v>
      </c>
      <c r="C19" s="4" t="s">
        <v>63</v>
      </c>
      <c r="D19" s="16" t="n">
        <v>150</v>
      </c>
      <c r="E19" s="6" t="n">
        <v>6800</v>
      </c>
      <c r="F19" s="10" t="n">
        <f aca="false">D19*E19</f>
        <v>1020000</v>
      </c>
      <c r="G19" s="17"/>
    </row>
    <row r="20" customFormat="false" ht="23.85" hidden="false" customHeight="false" outlineLevel="0" collapsed="false">
      <c r="A20" s="4" t="s">
        <v>87</v>
      </c>
      <c r="B20" s="15" t="s">
        <v>88</v>
      </c>
      <c r="C20" s="4" t="s">
        <v>89</v>
      </c>
      <c r="D20" s="16" t="n">
        <v>1</v>
      </c>
      <c r="E20" s="6" t="n">
        <v>1850000</v>
      </c>
      <c r="F20" s="10" t="n">
        <f aca="false">D20*E20</f>
        <v>1850000</v>
      </c>
      <c r="G20" s="17"/>
    </row>
    <row r="21" customFormat="false" ht="15" hidden="false" customHeight="false" outlineLevel="0" collapsed="false">
      <c r="A21" s="4" t="s">
        <v>90</v>
      </c>
      <c r="B21" s="15" t="s">
        <v>91</v>
      </c>
      <c r="C21" s="4" t="s">
        <v>89</v>
      </c>
      <c r="D21" s="16" t="n">
        <v>1</v>
      </c>
      <c r="E21" s="6" t="n">
        <v>2350000</v>
      </c>
      <c r="F21" s="10" t="n">
        <f aca="false">D21*E21</f>
        <v>2350000</v>
      </c>
      <c r="G21" s="17" t="s">
        <v>92</v>
      </c>
    </row>
    <row r="22" customFormat="false" ht="15" hidden="false" customHeight="false" outlineLevel="0" collapsed="false">
      <c r="A22" s="4" t="s">
        <v>93</v>
      </c>
      <c r="B22" s="15" t="s">
        <v>94</v>
      </c>
      <c r="C22" s="4" t="s">
        <v>43</v>
      </c>
      <c r="D22" s="16" t="n">
        <v>176.2</v>
      </c>
      <c r="E22" s="6" t="n">
        <v>4600</v>
      </c>
      <c r="F22" s="10" t="n">
        <f aca="false">D22*E22</f>
        <v>810520</v>
      </c>
      <c r="G22" s="17" t="s">
        <v>95</v>
      </c>
    </row>
    <row r="23" customFormat="false" ht="15" hidden="false" customHeight="false" outlineLevel="0" collapsed="false">
      <c r="A23" s="4" t="s">
        <v>96</v>
      </c>
      <c r="B23" s="15" t="s">
        <v>97</v>
      </c>
      <c r="C23" s="4" t="s">
        <v>89</v>
      </c>
      <c r="D23" s="16" t="n">
        <v>2</v>
      </c>
      <c r="E23" s="6" t="n">
        <v>1550000</v>
      </c>
      <c r="F23" s="10" t="n">
        <f aca="false">D23*E23</f>
        <v>3100000</v>
      </c>
      <c r="G23" s="17"/>
    </row>
    <row r="24" customFormat="false" ht="15" hidden="false" customHeight="false" outlineLevel="0" collapsed="false">
      <c r="A24" s="4" t="s">
        <v>98</v>
      </c>
      <c r="B24" s="15" t="s">
        <v>99</v>
      </c>
      <c r="C24" s="4" t="s">
        <v>100</v>
      </c>
      <c r="D24" s="16" t="n">
        <v>14759.8</v>
      </c>
      <c r="E24" s="6" t="n">
        <v>105</v>
      </c>
      <c r="F24" s="10" t="n">
        <f aca="false">D24*E24</f>
        <v>1549779</v>
      </c>
      <c r="G24" s="17" t="s">
        <v>101</v>
      </c>
    </row>
    <row r="25" customFormat="false" ht="15" hidden="false" customHeight="false" outlineLevel="0" collapsed="false">
      <c r="A25" s="4" t="s">
        <v>102</v>
      </c>
      <c r="B25" s="15" t="s">
        <v>103</v>
      </c>
      <c r="C25" s="4" t="s">
        <v>100</v>
      </c>
      <c r="D25" s="16" t="n">
        <v>400</v>
      </c>
      <c r="E25" s="6" t="n">
        <v>650</v>
      </c>
      <c r="F25" s="10" t="n">
        <f aca="false">D25*E25</f>
        <v>260000</v>
      </c>
      <c r="G25" s="17"/>
    </row>
    <row r="26" customFormat="false" ht="23.85" hidden="false" customHeight="false" outlineLevel="0" collapsed="false">
      <c r="A26" s="4" t="s">
        <v>104</v>
      </c>
      <c r="B26" s="15" t="s">
        <v>105</v>
      </c>
      <c r="C26" s="4" t="s">
        <v>89</v>
      </c>
      <c r="D26" s="16" t="n">
        <v>1</v>
      </c>
      <c r="E26" s="6" t="n">
        <v>520000</v>
      </c>
      <c r="F26" s="10" t="n">
        <f aca="false">D26*E26</f>
        <v>520000</v>
      </c>
      <c r="G26" s="17"/>
    </row>
    <row r="27" customFormat="false" ht="15" hidden="false" customHeight="false" outlineLevel="0" collapsed="false">
      <c r="A27" s="18"/>
      <c r="B27" s="19" t="s">
        <v>55</v>
      </c>
      <c r="C27" s="18"/>
      <c r="D27" s="18"/>
      <c r="E27" s="18"/>
      <c r="F27" s="20" t="n">
        <f aca="false">SUM(F10:F26)</f>
        <v>58214436</v>
      </c>
      <c r="G27" s="18"/>
    </row>
    <row r="29" customFormat="false" ht="15" hidden="false" customHeight="false" outlineLevel="0" collapsed="false">
      <c r="A29" s="13" t="s">
        <v>106</v>
      </c>
      <c r="B29" s="13" t="s">
        <v>107</v>
      </c>
      <c r="C29" s="14"/>
      <c r="D29" s="14"/>
      <c r="E29" s="14"/>
      <c r="F29" s="14"/>
      <c r="G29" s="14"/>
    </row>
    <row r="30" customFormat="false" ht="23.85" hidden="false" customHeight="false" outlineLevel="0" collapsed="false">
      <c r="A30" s="4" t="s">
        <v>108</v>
      </c>
      <c r="B30" s="15" t="s">
        <v>109</v>
      </c>
      <c r="C30" s="4" t="s">
        <v>47</v>
      </c>
      <c r="D30" s="16" t="n">
        <v>3442.8</v>
      </c>
      <c r="E30" s="6" t="n">
        <v>5200</v>
      </c>
      <c r="F30" s="10" t="n">
        <f aca="false">D30*E30</f>
        <v>17902560</v>
      </c>
      <c r="G30" s="17" t="s">
        <v>110</v>
      </c>
    </row>
    <row r="31" customFormat="false" ht="15" hidden="false" customHeight="false" outlineLevel="0" collapsed="false">
      <c r="A31" s="4" t="s">
        <v>111</v>
      </c>
      <c r="B31" s="15" t="s">
        <v>112</v>
      </c>
      <c r="C31" s="4" t="s">
        <v>47</v>
      </c>
      <c r="D31" s="16" t="n">
        <v>2113</v>
      </c>
      <c r="E31" s="6" t="n">
        <v>3100</v>
      </c>
      <c r="F31" s="10" t="n">
        <f aca="false">D31*E31</f>
        <v>6550300</v>
      </c>
      <c r="G31" s="17" t="s">
        <v>113</v>
      </c>
    </row>
    <row r="32" customFormat="false" ht="15" hidden="false" customHeight="false" outlineLevel="0" collapsed="false">
      <c r="A32" s="4" t="s">
        <v>114</v>
      </c>
      <c r="B32" s="15" t="s">
        <v>115</v>
      </c>
      <c r="C32" s="4" t="s">
        <v>47</v>
      </c>
      <c r="D32" s="16" t="n">
        <v>903.5</v>
      </c>
      <c r="E32" s="6" t="n">
        <v>6200</v>
      </c>
      <c r="F32" s="10" t="n">
        <f aca="false">D32*E32</f>
        <v>5601700</v>
      </c>
      <c r="G32" s="17" t="s">
        <v>116</v>
      </c>
    </row>
    <row r="33" customFormat="false" ht="15" hidden="false" customHeight="false" outlineLevel="0" collapsed="false">
      <c r="A33" s="4" t="s">
        <v>117</v>
      </c>
      <c r="B33" s="15" t="s">
        <v>118</v>
      </c>
      <c r="C33" s="4" t="s">
        <v>47</v>
      </c>
      <c r="D33" s="16" t="n">
        <v>709.5</v>
      </c>
      <c r="E33" s="6" t="n">
        <v>11200</v>
      </c>
      <c r="F33" s="10" t="n">
        <f aca="false">D33*E33</f>
        <v>7946400</v>
      </c>
      <c r="G33" s="17"/>
    </row>
    <row r="34" customFormat="false" ht="23.85" hidden="false" customHeight="false" outlineLevel="0" collapsed="false">
      <c r="A34" s="4" t="s">
        <v>119</v>
      </c>
      <c r="B34" s="15" t="s">
        <v>120</v>
      </c>
      <c r="C34" s="4" t="s">
        <v>47</v>
      </c>
      <c r="D34" s="16" t="n">
        <v>598</v>
      </c>
      <c r="E34" s="6" t="n">
        <v>26000</v>
      </c>
      <c r="F34" s="10" t="n">
        <f aca="false">D34*E34</f>
        <v>15548000</v>
      </c>
      <c r="G34" s="17"/>
    </row>
    <row r="35" customFormat="false" ht="15" hidden="false" customHeight="false" outlineLevel="0" collapsed="false">
      <c r="A35" s="4" t="s">
        <v>121</v>
      </c>
      <c r="B35" s="15" t="s">
        <v>122</v>
      </c>
      <c r="C35" s="4" t="s">
        <v>43</v>
      </c>
      <c r="D35" s="16" t="n">
        <v>237.6</v>
      </c>
      <c r="E35" s="6" t="n">
        <v>8200</v>
      </c>
      <c r="F35" s="10" t="n">
        <f aca="false">D35*E35</f>
        <v>1948320</v>
      </c>
      <c r="G35" s="17" t="s">
        <v>123</v>
      </c>
    </row>
    <row r="36" customFormat="false" ht="15" hidden="false" customHeight="false" outlineLevel="0" collapsed="false">
      <c r="A36" s="4" t="s">
        <v>124</v>
      </c>
      <c r="B36" s="15" t="s">
        <v>125</v>
      </c>
      <c r="C36" s="4" t="s">
        <v>43</v>
      </c>
      <c r="D36" s="16" t="n">
        <v>2418.5</v>
      </c>
      <c r="E36" s="6" t="n">
        <v>1450</v>
      </c>
      <c r="F36" s="10" t="n">
        <f aca="false">D36*E36</f>
        <v>3506825</v>
      </c>
      <c r="G36" s="17"/>
    </row>
    <row r="37" customFormat="false" ht="15" hidden="false" customHeight="false" outlineLevel="0" collapsed="false">
      <c r="A37" s="4" t="s">
        <v>126</v>
      </c>
      <c r="B37" s="15" t="s">
        <v>127</v>
      </c>
      <c r="C37" s="4" t="s">
        <v>47</v>
      </c>
      <c r="D37" s="16" t="n">
        <v>1298</v>
      </c>
      <c r="E37" s="6" t="n">
        <v>1850</v>
      </c>
      <c r="F37" s="10" t="n">
        <f aca="false">D37*E37</f>
        <v>2401300</v>
      </c>
      <c r="G37" s="17"/>
    </row>
    <row r="38" customFormat="false" ht="23.85" hidden="false" customHeight="false" outlineLevel="0" collapsed="false">
      <c r="A38" s="4" t="s">
        <v>128</v>
      </c>
      <c r="B38" s="15" t="s">
        <v>129</v>
      </c>
      <c r="C38" s="4" t="s">
        <v>47</v>
      </c>
      <c r="D38" s="16" t="n">
        <v>530</v>
      </c>
      <c r="E38" s="6" t="n">
        <v>5200</v>
      </c>
      <c r="F38" s="10" t="n">
        <f aca="false">D38*E38</f>
        <v>2756000</v>
      </c>
      <c r="G38" s="17" t="s">
        <v>130</v>
      </c>
    </row>
    <row r="39" customFormat="false" ht="15" hidden="false" customHeight="false" outlineLevel="0" collapsed="false">
      <c r="A39" s="4" t="s">
        <v>131</v>
      </c>
      <c r="B39" s="15" t="s">
        <v>132</v>
      </c>
      <c r="C39" s="4" t="s">
        <v>47</v>
      </c>
      <c r="D39" s="16" t="n">
        <v>118</v>
      </c>
      <c r="E39" s="6" t="n">
        <v>4300</v>
      </c>
      <c r="F39" s="10" t="n">
        <f aca="false">D39*E39</f>
        <v>507400</v>
      </c>
      <c r="G39" s="17"/>
    </row>
    <row r="40" customFormat="false" ht="15" hidden="false" customHeight="false" outlineLevel="0" collapsed="false">
      <c r="A40" s="18"/>
      <c r="B40" s="19" t="s">
        <v>55</v>
      </c>
      <c r="C40" s="18"/>
      <c r="D40" s="18"/>
      <c r="E40" s="18"/>
      <c r="F40" s="20" t="n">
        <f aca="false">SUM(F30:F39)</f>
        <v>64668805</v>
      </c>
      <c r="G40" s="18"/>
    </row>
    <row r="42" customFormat="false" ht="15" hidden="false" customHeight="false" outlineLevel="0" collapsed="false">
      <c r="A42" s="13" t="s">
        <v>133</v>
      </c>
      <c r="B42" s="13" t="s">
        <v>134</v>
      </c>
      <c r="C42" s="14"/>
      <c r="D42" s="14"/>
      <c r="E42" s="14"/>
      <c r="F42" s="14"/>
      <c r="G42" s="14"/>
    </row>
    <row r="43" customFormat="false" ht="15" hidden="false" customHeight="false" outlineLevel="0" collapsed="false">
      <c r="A43" s="4" t="s">
        <v>135</v>
      </c>
      <c r="B43" s="15" t="s">
        <v>136</v>
      </c>
      <c r="C43" s="4" t="s">
        <v>100</v>
      </c>
      <c r="D43" s="16" t="n">
        <v>1</v>
      </c>
      <c r="E43" s="6" t="n">
        <v>15800000</v>
      </c>
      <c r="F43" s="10" t="n">
        <f aca="false">D43*E43</f>
        <v>15800000</v>
      </c>
      <c r="G43" s="17" t="s">
        <v>137</v>
      </c>
    </row>
    <row r="44" customFormat="false" ht="15" hidden="false" customHeight="false" outlineLevel="0" collapsed="false">
      <c r="A44" s="4" t="s">
        <v>138</v>
      </c>
      <c r="B44" s="15" t="s">
        <v>139</v>
      </c>
      <c r="C44" s="4" t="s">
        <v>47</v>
      </c>
      <c r="D44" s="16" t="n">
        <v>120</v>
      </c>
      <c r="E44" s="6" t="n">
        <v>98000</v>
      </c>
      <c r="F44" s="10" t="n">
        <f aca="false">D44*E44</f>
        <v>11760000</v>
      </c>
      <c r="G44" s="17"/>
    </row>
    <row r="45" customFormat="false" ht="15" hidden="false" customHeight="false" outlineLevel="0" collapsed="false">
      <c r="A45" s="4" t="s">
        <v>140</v>
      </c>
      <c r="B45" s="15" t="s">
        <v>141</v>
      </c>
      <c r="C45" s="4" t="s">
        <v>47</v>
      </c>
      <c r="D45" s="16" t="n">
        <v>64</v>
      </c>
      <c r="E45" s="6" t="n">
        <v>62000</v>
      </c>
      <c r="F45" s="10" t="n">
        <f aca="false">D45*E45</f>
        <v>3968000</v>
      </c>
      <c r="G45" s="17"/>
    </row>
    <row r="46" customFormat="false" ht="15" hidden="false" customHeight="false" outlineLevel="0" collapsed="false">
      <c r="A46" s="4" t="s">
        <v>142</v>
      </c>
      <c r="B46" s="15" t="s">
        <v>143</v>
      </c>
      <c r="C46" s="4" t="s">
        <v>47</v>
      </c>
      <c r="D46" s="16" t="n">
        <v>40</v>
      </c>
      <c r="E46" s="6" t="n">
        <v>130000</v>
      </c>
      <c r="F46" s="10" t="n">
        <f aca="false">D46*E46</f>
        <v>5200000</v>
      </c>
      <c r="G46" s="17" t="s">
        <v>144</v>
      </c>
    </row>
    <row r="47" customFormat="false" ht="23.85" hidden="false" customHeight="false" outlineLevel="0" collapsed="false">
      <c r="A47" s="4" t="s">
        <v>145</v>
      </c>
      <c r="B47" s="15" t="s">
        <v>146</v>
      </c>
      <c r="C47" s="4" t="s">
        <v>100</v>
      </c>
      <c r="D47" s="16" t="n">
        <v>4</v>
      </c>
      <c r="E47" s="6" t="n">
        <v>8600000</v>
      </c>
      <c r="F47" s="10" t="n">
        <f aca="false">D47*E47</f>
        <v>34400000</v>
      </c>
      <c r="G47" s="17" t="s">
        <v>147</v>
      </c>
    </row>
    <row r="48" customFormat="false" ht="15" hidden="false" customHeight="false" outlineLevel="0" collapsed="false">
      <c r="A48" s="4" t="s">
        <v>148</v>
      </c>
      <c r="B48" s="15" t="s">
        <v>149</v>
      </c>
      <c r="C48" s="4" t="s">
        <v>47</v>
      </c>
      <c r="D48" s="16" t="n">
        <v>84</v>
      </c>
      <c r="E48" s="6" t="n">
        <v>78000</v>
      </c>
      <c r="F48" s="10" t="n">
        <f aca="false">D48*E48</f>
        <v>6552000</v>
      </c>
      <c r="G48" s="17"/>
    </row>
    <row r="49" customFormat="false" ht="23.85" hidden="false" customHeight="false" outlineLevel="0" collapsed="false">
      <c r="A49" s="4" t="s">
        <v>150</v>
      </c>
      <c r="B49" s="15" t="s">
        <v>151</v>
      </c>
      <c r="C49" s="4" t="s">
        <v>47</v>
      </c>
      <c r="D49" s="16" t="n">
        <v>60</v>
      </c>
      <c r="E49" s="6" t="n">
        <v>145000</v>
      </c>
      <c r="F49" s="10" t="n">
        <f aca="false">D49*E49</f>
        <v>8700000</v>
      </c>
      <c r="G49" s="17" t="s">
        <v>152</v>
      </c>
    </row>
    <row r="50" customFormat="false" ht="15" hidden="false" customHeight="false" outlineLevel="0" collapsed="false">
      <c r="A50" s="4" t="s">
        <v>153</v>
      </c>
      <c r="B50" s="15" t="s">
        <v>154</v>
      </c>
      <c r="C50" s="4" t="s">
        <v>43</v>
      </c>
      <c r="D50" s="16" t="n">
        <v>201</v>
      </c>
      <c r="E50" s="6" t="n">
        <v>92000</v>
      </c>
      <c r="F50" s="10" t="n">
        <f aca="false">D50*E50</f>
        <v>18492000</v>
      </c>
      <c r="G50" s="17" t="s">
        <v>155</v>
      </c>
    </row>
    <row r="51" customFormat="false" ht="15" hidden="false" customHeight="false" outlineLevel="0" collapsed="false">
      <c r="A51" s="18"/>
      <c r="B51" s="19" t="s">
        <v>55</v>
      </c>
      <c r="C51" s="18"/>
      <c r="D51" s="18"/>
      <c r="E51" s="18"/>
      <c r="F51" s="20" t="n">
        <f aca="false">SUM(F43:F50)</f>
        <v>104872000</v>
      </c>
      <c r="G51" s="18"/>
    </row>
    <row r="53" customFormat="false" ht="15" hidden="false" customHeight="false" outlineLevel="0" collapsed="false">
      <c r="A53" s="13" t="s">
        <v>156</v>
      </c>
      <c r="B53" s="13" t="s">
        <v>157</v>
      </c>
      <c r="C53" s="14"/>
      <c r="D53" s="14"/>
      <c r="E53" s="14"/>
      <c r="F53" s="14"/>
      <c r="G53" s="14"/>
    </row>
    <row r="54" customFormat="false" ht="15" hidden="false" customHeight="false" outlineLevel="0" collapsed="false">
      <c r="A54" s="4" t="s">
        <v>158</v>
      </c>
      <c r="B54" s="15" t="s">
        <v>159</v>
      </c>
      <c r="C54" s="4" t="s">
        <v>89</v>
      </c>
      <c r="D54" s="16" t="n">
        <v>1</v>
      </c>
      <c r="E54" s="6" t="n">
        <v>2950000</v>
      </c>
      <c r="F54" s="10" t="n">
        <f aca="false">D54*E54</f>
        <v>2950000</v>
      </c>
      <c r="G54" s="17"/>
    </row>
    <row r="55" customFormat="false" ht="15" hidden="false" customHeight="false" outlineLevel="0" collapsed="false">
      <c r="A55" s="4" t="s">
        <v>160</v>
      </c>
      <c r="B55" s="15" t="s">
        <v>161</v>
      </c>
      <c r="C55" s="4" t="s">
        <v>89</v>
      </c>
      <c r="D55" s="16" t="n">
        <v>1</v>
      </c>
      <c r="E55" s="6" t="n">
        <v>1850000</v>
      </c>
      <c r="F55" s="10" t="n">
        <f aca="false">D55*E55</f>
        <v>1850000</v>
      </c>
      <c r="G55" s="17"/>
    </row>
    <row r="56" customFormat="false" ht="15" hidden="false" customHeight="false" outlineLevel="0" collapsed="false">
      <c r="A56" s="4" t="s">
        <v>162</v>
      </c>
      <c r="B56" s="15" t="s">
        <v>163</v>
      </c>
      <c r="C56" s="4" t="s">
        <v>89</v>
      </c>
      <c r="D56" s="16" t="n">
        <v>1</v>
      </c>
      <c r="E56" s="6" t="n">
        <v>740000</v>
      </c>
      <c r="F56" s="10" t="n">
        <f aca="false">D56*E56</f>
        <v>740000</v>
      </c>
      <c r="G56" s="17"/>
    </row>
    <row r="57" customFormat="false" ht="15" hidden="false" customHeight="false" outlineLevel="0" collapsed="false">
      <c r="A57" s="4" t="s">
        <v>164</v>
      </c>
      <c r="B57" s="15" t="s">
        <v>165</v>
      </c>
      <c r="C57" s="4" t="s">
        <v>89</v>
      </c>
      <c r="D57" s="16" t="n">
        <v>1</v>
      </c>
      <c r="E57" s="6" t="n">
        <v>420000</v>
      </c>
      <c r="F57" s="10" t="n">
        <f aca="false">D57*E57</f>
        <v>420000</v>
      </c>
      <c r="G57" s="17"/>
    </row>
    <row r="58" customFormat="false" ht="15" hidden="false" customHeight="false" outlineLevel="0" collapsed="false">
      <c r="A58" s="4" t="s">
        <v>166</v>
      </c>
      <c r="B58" s="15" t="s">
        <v>167</v>
      </c>
      <c r="C58" s="4" t="s">
        <v>47</v>
      </c>
      <c r="D58" s="16" t="n">
        <v>144</v>
      </c>
      <c r="E58" s="6" t="n">
        <v>28000</v>
      </c>
      <c r="F58" s="10" t="n">
        <f aca="false">D58*E58</f>
        <v>4032000</v>
      </c>
      <c r="G58" s="17"/>
    </row>
    <row r="59" customFormat="false" ht="15" hidden="false" customHeight="false" outlineLevel="0" collapsed="false">
      <c r="A59" s="4" t="s">
        <v>168</v>
      </c>
      <c r="B59" s="15" t="s">
        <v>169</v>
      </c>
      <c r="C59" s="4" t="s">
        <v>47</v>
      </c>
      <c r="D59" s="16" t="n">
        <v>384</v>
      </c>
      <c r="E59" s="6" t="n">
        <v>5400</v>
      </c>
      <c r="F59" s="10" t="n">
        <f aca="false">D59*E59</f>
        <v>2073600</v>
      </c>
      <c r="G59" s="17"/>
    </row>
    <row r="60" customFormat="false" ht="15" hidden="false" customHeight="false" outlineLevel="0" collapsed="false">
      <c r="A60" s="4" t="s">
        <v>170</v>
      </c>
      <c r="B60" s="15" t="s">
        <v>171</v>
      </c>
      <c r="C60" s="4" t="s">
        <v>100</v>
      </c>
      <c r="D60" s="16" t="n">
        <v>1</v>
      </c>
      <c r="E60" s="6" t="n">
        <v>640000</v>
      </c>
      <c r="F60" s="10" t="n">
        <f aca="false">D60*E60</f>
        <v>640000</v>
      </c>
      <c r="G60" s="17"/>
    </row>
    <row r="61" customFormat="false" ht="15" hidden="false" customHeight="false" outlineLevel="0" collapsed="false">
      <c r="A61" s="4" t="s">
        <v>172</v>
      </c>
      <c r="B61" s="15" t="s">
        <v>173</v>
      </c>
      <c r="C61" s="4" t="s">
        <v>89</v>
      </c>
      <c r="D61" s="16" t="n">
        <v>1</v>
      </c>
      <c r="E61" s="6" t="n">
        <v>2350000</v>
      </c>
      <c r="F61" s="10" t="n">
        <f aca="false">D61*E61</f>
        <v>2350000</v>
      </c>
      <c r="G61" s="17"/>
    </row>
    <row r="62" customFormat="false" ht="15" hidden="false" customHeight="false" outlineLevel="0" collapsed="false">
      <c r="A62" s="4" t="s">
        <v>174</v>
      </c>
      <c r="B62" s="15" t="s">
        <v>175</v>
      </c>
      <c r="C62" s="4" t="s">
        <v>100</v>
      </c>
      <c r="D62" s="16" t="n">
        <v>1</v>
      </c>
      <c r="E62" s="6" t="n">
        <v>1150000</v>
      </c>
      <c r="F62" s="10" t="n">
        <f aca="false">D62*E62</f>
        <v>1150000</v>
      </c>
      <c r="G62" s="17"/>
    </row>
    <row r="63" customFormat="false" ht="15" hidden="false" customHeight="false" outlineLevel="0" collapsed="false">
      <c r="A63" s="4" t="s">
        <v>176</v>
      </c>
      <c r="B63" s="15" t="s">
        <v>177</v>
      </c>
      <c r="C63" s="4" t="s">
        <v>43</v>
      </c>
      <c r="D63" s="16" t="n">
        <v>241.5</v>
      </c>
      <c r="E63" s="6" t="n">
        <v>4100</v>
      </c>
      <c r="F63" s="10" t="n">
        <f aca="false">D63*E63</f>
        <v>990150</v>
      </c>
      <c r="G63" s="17"/>
    </row>
    <row r="64" customFormat="false" ht="15" hidden="false" customHeight="false" outlineLevel="0" collapsed="false">
      <c r="A64" s="4" t="s">
        <v>178</v>
      </c>
      <c r="B64" s="15" t="s">
        <v>179</v>
      </c>
      <c r="C64" s="4" t="s">
        <v>89</v>
      </c>
      <c r="D64" s="16" t="n">
        <v>1</v>
      </c>
      <c r="E64" s="6" t="n">
        <v>1360000</v>
      </c>
      <c r="F64" s="10" t="n">
        <f aca="false">D64*E64</f>
        <v>1360000</v>
      </c>
      <c r="G64" s="17"/>
    </row>
    <row r="65" customFormat="false" ht="15" hidden="false" customHeight="false" outlineLevel="0" collapsed="false">
      <c r="A65" s="18"/>
      <c r="B65" s="19" t="s">
        <v>55</v>
      </c>
      <c r="C65" s="18"/>
      <c r="D65" s="18"/>
      <c r="E65" s="18"/>
      <c r="F65" s="20" t="n">
        <f aca="false">SUM(F54:F64)</f>
        <v>18555750</v>
      </c>
      <c r="G65" s="18"/>
    </row>
    <row r="67" customFormat="false" ht="15" hidden="false" customHeight="false" outlineLevel="0" collapsed="false">
      <c r="A67" s="13" t="s">
        <v>180</v>
      </c>
      <c r="B67" s="13" t="s">
        <v>181</v>
      </c>
      <c r="C67" s="14"/>
      <c r="D67" s="14"/>
      <c r="E67" s="14"/>
      <c r="F67" s="14"/>
      <c r="G67" s="14"/>
    </row>
    <row r="68" customFormat="false" ht="15" hidden="false" customHeight="false" outlineLevel="0" collapsed="false">
      <c r="A68" s="4" t="s">
        <v>182</v>
      </c>
      <c r="B68" s="15" t="s">
        <v>183</v>
      </c>
      <c r="C68" s="4" t="s">
        <v>100</v>
      </c>
      <c r="D68" s="16" t="n">
        <v>295</v>
      </c>
      <c r="E68" s="6" t="n">
        <v>7800</v>
      </c>
      <c r="F68" s="10" t="n">
        <f aca="false">D68*E68</f>
        <v>2301000</v>
      </c>
      <c r="G68" s="17" t="s">
        <v>184</v>
      </c>
    </row>
    <row r="69" customFormat="false" ht="15" hidden="false" customHeight="false" outlineLevel="0" collapsed="false">
      <c r="A69" s="4" t="s">
        <v>185</v>
      </c>
      <c r="B69" s="15" t="s">
        <v>186</v>
      </c>
      <c r="C69" s="4" t="s">
        <v>100</v>
      </c>
      <c r="D69" s="16" t="n">
        <v>162</v>
      </c>
      <c r="E69" s="6" t="n">
        <v>6300</v>
      </c>
      <c r="F69" s="10" t="n">
        <f aca="false">D69*E69</f>
        <v>1020600</v>
      </c>
      <c r="G69" s="17" t="s">
        <v>184</v>
      </c>
    </row>
    <row r="70" customFormat="false" ht="15" hidden="false" customHeight="false" outlineLevel="0" collapsed="false">
      <c r="A70" s="4" t="s">
        <v>187</v>
      </c>
      <c r="B70" s="15" t="s">
        <v>188</v>
      </c>
      <c r="C70" s="4" t="s">
        <v>100</v>
      </c>
      <c r="D70" s="16" t="n">
        <v>162</v>
      </c>
      <c r="E70" s="6" t="n">
        <v>12500</v>
      </c>
      <c r="F70" s="10" t="n">
        <f aca="false">D70*E70</f>
        <v>2025000</v>
      </c>
      <c r="G70" s="17" t="s">
        <v>184</v>
      </c>
    </row>
    <row r="71" customFormat="false" ht="15" hidden="false" customHeight="false" outlineLevel="0" collapsed="false">
      <c r="A71" s="4" t="s">
        <v>189</v>
      </c>
      <c r="B71" s="15" t="s">
        <v>190</v>
      </c>
      <c r="C71" s="4" t="s">
        <v>100</v>
      </c>
      <c r="D71" s="16" t="n">
        <v>155</v>
      </c>
      <c r="E71" s="6" t="n">
        <v>14000</v>
      </c>
      <c r="F71" s="10" t="n">
        <f aca="false">D71*E71</f>
        <v>2170000</v>
      </c>
      <c r="G71" s="17" t="s">
        <v>184</v>
      </c>
    </row>
    <row r="72" customFormat="false" ht="15" hidden="false" customHeight="false" outlineLevel="0" collapsed="false">
      <c r="A72" s="4" t="s">
        <v>191</v>
      </c>
      <c r="B72" s="15" t="s">
        <v>192</v>
      </c>
      <c r="C72" s="4" t="s">
        <v>100</v>
      </c>
      <c r="D72" s="16" t="n">
        <v>145</v>
      </c>
      <c r="E72" s="6" t="n">
        <v>6800</v>
      </c>
      <c r="F72" s="10" t="n">
        <f aca="false">D72*E72</f>
        <v>986000</v>
      </c>
      <c r="G72" s="17" t="s">
        <v>184</v>
      </c>
    </row>
    <row r="73" customFormat="false" ht="15" hidden="false" customHeight="false" outlineLevel="0" collapsed="false">
      <c r="A73" s="4" t="s">
        <v>193</v>
      </c>
      <c r="B73" s="15" t="s">
        <v>194</v>
      </c>
      <c r="C73" s="4" t="s">
        <v>100</v>
      </c>
      <c r="D73" s="16" t="n">
        <v>117</v>
      </c>
      <c r="E73" s="6" t="n">
        <v>5900</v>
      </c>
      <c r="F73" s="10" t="n">
        <f aca="false">D73*E73</f>
        <v>690300</v>
      </c>
      <c r="G73" s="17" t="s">
        <v>184</v>
      </c>
    </row>
    <row r="74" customFormat="false" ht="15" hidden="false" customHeight="false" outlineLevel="0" collapsed="false">
      <c r="A74" s="4" t="s">
        <v>195</v>
      </c>
      <c r="B74" s="15" t="s">
        <v>196</v>
      </c>
      <c r="C74" s="4" t="s">
        <v>100</v>
      </c>
      <c r="D74" s="16" t="n">
        <v>88</v>
      </c>
      <c r="E74" s="6" t="n">
        <v>18500</v>
      </c>
      <c r="F74" s="10" t="n">
        <f aca="false">D74*E74</f>
        <v>1628000</v>
      </c>
      <c r="G74" s="17" t="s">
        <v>184</v>
      </c>
    </row>
    <row r="75" customFormat="false" ht="15" hidden="false" customHeight="false" outlineLevel="0" collapsed="false">
      <c r="A75" s="4" t="s">
        <v>197</v>
      </c>
      <c r="B75" s="15" t="s">
        <v>198</v>
      </c>
      <c r="C75" s="4" t="s">
        <v>100</v>
      </c>
      <c r="D75" s="16" t="n">
        <v>84</v>
      </c>
      <c r="E75" s="6" t="n">
        <v>5600</v>
      </c>
      <c r="F75" s="10" t="n">
        <f aca="false">D75*E75</f>
        <v>470400</v>
      </c>
      <c r="G75" s="17" t="s">
        <v>184</v>
      </c>
    </row>
    <row r="76" customFormat="false" ht="15" hidden="false" customHeight="false" outlineLevel="0" collapsed="false">
      <c r="A76" s="4" t="s">
        <v>199</v>
      </c>
      <c r="B76" s="15" t="s">
        <v>200</v>
      </c>
      <c r="C76" s="4" t="s">
        <v>100</v>
      </c>
      <c r="D76" s="16" t="n">
        <v>49</v>
      </c>
      <c r="E76" s="6" t="n">
        <v>11000</v>
      </c>
      <c r="F76" s="10" t="n">
        <f aca="false">D76*E76</f>
        <v>539000</v>
      </c>
      <c r="G76" s="17" t="s">
        <v>184</v>
      </c>
    </row>
    <row r="77" customFormat="false" ht="15" hidden="false" customHeight="false" outlineLevel="0" collapsed="false">
      <c r="A77" s="4" t="s">
        <v>201</v>
      </c>
      <c r="B77" s="15" t="s">
        <v>202</v>
      </c>
      <c r="C77" s="4" t="s">
        <v>100</v>
      </c>
      <c r="D77" s="16" t="n">
        <v>49</v>
      </c>
      <c r="E77" s="6" t="n">
        <v>5800</v>
      </c>
      <c r="F77" s="10" t="n">
        <f aca="false">D77*E77</f>
        <v>284200</v>
      </c>
      <c r="G77" s="17" t="s">
        <v>184</v>
      </c>
    </row>
    <row r="78" customFormat="false" ht="23.85" hidden="false" customHeight="false" outlineLevel="0" collapsed="false">
      <c r="A78" s="4" t="s">
        <v>203</v>
      </c>
      <c r="B78" s="15" t="s">
        <v>204</v>
      </c>
      <c r="C78" s="4" t="s">
        <v>100</v>
      </c>
      <c r="D78" s="16" t="n">
        <v>1680</v>
      </c>
      <c r="E78" s="6" t="n">
        <v>2150</v>
      </c>
      <c r="F78" s="10" t="n">
        <f aca="false">D78*E78</f>
        <v>3612000</v>
      </c>
      <c r="G78" s="17" t="s">
        <v>205</v>
      </c>
    </row>
    <row r="79" customFormat="false" ht="15" hidden="false" customHeight="false" outlineLevel="0" collapsed="false">
      <c r="A79" s="4" t="s">
        <v>206</v>
      </c>
      <c r="B79" s="15" t="s">
        <v>207</v>
      </c>
      <c r="C79" s="4" t="s">
        <v>43</v>
      </c>
      <c r="D79" s="16" t="n">
        <v>420</v>
      </c>
      <c r="E79" s="6" t="n">
        <v>4800</v>
      </c>
      <c r="F79" s="10" t="n">
        <f aca="false">D79*E79</f>
        <v>2016000</v>
      </c>
      <c r="G79" s="17"/>
    </row>
    <row r="80" customFormat="false" ht="15" hidden="false" customHeight="false" outlineLevel="0" collapsed="false">
      <c r="A80" s="4" t="s">
        <v>208</v>
      </c>
      <c r="B80" s="15" t="s">
        <v>209</v>
      </c>
      <c r="C80" s="4" t="s">
        <v>47</v>
      </c>
      <c r="D80" s="16" t="n">
        <v>985.8</v>
      </c>
      <c r="E80" s="6" t="n">
        <v>3400</v>
      </c>
      <c r="F80" s="10" t="n">
        <f aca="false">D80*E80</f>
        <v>3351720</v>
      </c>
      <c r="G80" s="17"/>
    </row>
    <row r="81" customFormat="false" ht="15" hidden="false" customHeight="false" outlineLevel="0" collapsed="false">
      <c r="A81" s="4" t="s">
        <v>210</v>
      </c>
      <c r="B81" s="15" t="s">
        <v>211</v>
      </c>
      <c r="C81" s="4" t="s">
        <v>47</v>
      </c>
      <c r="D81" s="16" t="n">
        <v>3528</v>
      </c>
      <c r="E81" s="6" t="n">
        <v>380</v>
      </c>
      <c r="F81" s="10" t="n">
        <f aca="false">D81*E81</f>
        <v>1340640</v>
      </c>
      <c r="G81" s="17" t="s">
        <v>212</v>
      </c>
    </row>
    <row r="82" customFormat="false" ht="15" hidden="false" customHeight="false" outlineLevel="0" collapsed="false">
      <c r="A82" s="4" t="s">
        <v>213</v>
      </c>
      <c r="B82" s="15" t="s">
        <v>214</v>
      </c>
      <c r="C82" s="4" t="s">
        <v>47</v>
      </c>
      <c r="D82" s="16" t="n">
        <v>21834.5</v>
      </c>
      <c r="E82" s="6" t="n">
        <v>260</v>
      </c>
      <c r="F82" s="10" t="n">
        <f aca="false">D82*E82</f>
        <v>5676970</v>
      </c>
      <c r="G82" s="17"/>
    </row>
    <row r="83" customFormat="false" ht="15" hidden="false" customHeight="false" outlineLevel="0" collapsed="false">
      <c r="A83" s="4" t="s">
        <v>215</v>
      </c>
      <c r="B83" s="15" t="s">
        <v>216</v>
      </c>
      <c r="C83" s="4" t="s">
        <v>47</v>
      </c>
      <c r="D83" s="16" t="n">
        <v>38321.5</v>
      </c>
      <c r="E83" s="6" t="n">
        <v>95</v>
      </c>
      <c r="F83" s="10" t="n">
        <f aca="false">D83*E83</f>
        <v>3640542.5</v>
      </c>
      <c r="G83" s="17"/>
    </row>
    <row r="84" customFormat="false" ht="15" hidden="false" customHeight="false" outlineLevel="0" collapsed="false">
      <c r="A84" s="4" t="s">
        <v>217</v>
      </c>
      <c r="B84" s="15" t="s">
        <v>218</v>
      </c>
      <c r="C84" s="4" t="s">
        <v>63</v>
      </c>
      <c r="D84" s="16" t="n">
        <v>9420.8</v>
      </c>
      <c r="E84" s="6" t="n">
        <v>1450</v>
      </c>
      <c r="F84" s="10" t="n">
        <f aca="false">D84*E84</f>
        <v>13660160</v>
      </c>
      <c r="G84" s="17" t="s">
        <v>219</v>
      </c>
    </row>
    <row r="85" customFormat="false" ht="15" hidden="false" customHeight="false" outlineLevel="0" collapsed="false">
      <c r="A85" s="4" t="s">
        <v>220</v>
      </c>
      <c r="B85" s="15" t="s">
        <v>221</v>
      </c>
      <c r="C85" s="4" t="s">
        <v>47</v>
      </c>
      <c r="D85" s="16" t="n">
        <v>22820.2</v>
      </c>
      <c r="E85" s="6" t="n">
        <v>520</v>
      </c>
      <c r="F85" s="10" t="n">
        <f aca="false">D85*E85</f>
        <v>11866504</v>
      </c>
      <c r="G85" s="17"/>
    </row>
    <row r="86" customFormat="false" ht="15" hidden="false" customHeight="false" outlineLevel="0" collapsed="false">
      <c r="A86" s="4" t="s">
        <v>222</v>
      </c>
      <c r="B86" s="15" t="s">
        <v>223</v>
      </c>
      <c r="C86" s="4" t="s">
        <v>100</v>
      </c>
      <c r="D86" s="16" t="n">
        <v>3583</v>
      </c>
      <c r="E86" s="6" t="n">
        <v>600</v>
      </c>
      <c r="F86" s="10" t="n">
        <f aca="false">D86*E86</f>
        <v>2149800</v>
      </c>
      <c r="G86" s="17"/>
    </row>
    <row r="87" customFormat="false" ht="15" hidden="false" customHeight="false" outlineLevel="0" collapsed="false">
      <c r="A87" s="4" t="s">
        <v>224</v>
      </c>
      <c r="B87" s="15" t="s">
        <v>225</v>
      </c>
      <c r="C87" s="4" t="s">
        <v>100</v>
      </c>
      <c r="D87" s="16" t="n">
        <v>497</v>
      </c>
      <c r="E87" s="6" t="n">
        <v>1400</v>
      </c>
      <c r="F87" s="10" t="n">
        <f aca="false">D87*E87</f>
        <v>695800</v>
      </c>
      <c r="G87" s="17" t="s">
        <v>226</v>
      </c>
    </row>
    <row r="88" customFormat="false" ht="15" hidden="false" customHeight="false" outlineLevel="0" collapsed="false">
      <c r="A88" s="4" t="s">
        <v>227</v>
      </c>
      <c r="B88" s="15" t="s">
        <v>228</v>
      </c>
      <c r="C88" s="4" t="s">
        <v>100</v>
      </c>
      <c r="D88" s="16" t="n">
        <v>23</v>
      </c>
      <c r="E88" s="6" t="n">
        <v>22000</v>
      </c>
      <c r="F88" s="10" t="n">
        <f aca="false">D88*E88</f>
        <v>506000</v>
      </c>
      <c r="G88" s="17" t="s">
        <v>229</v>
      </c>
    </row>
    <row r="89" customFormat="false" ht="15" hidden="false" customHeight="false" outlineLevel="0" collapsed="false">
      <c r="A89" s="18"/>
      <c r="B89" s="19" t="s">
        <v>55</v>
      </c>
      <c r="C89" s="18"/>
      <c r="D89" s="18"/>
      <c r="E89" s="18"/>
      <c r="F89" s="20" t="n">
        <f aca="false">SUM(F68:F88)</f>
        <v>60630636.5</v>
      </c>
      <c r="G89" s="18"/>
    </row>
    <row r="91" customFormat="false" ht="15" hidden="false" customHeight="false" outlineLevel="0" collapsed="false">
      <c r="A91" s="13" t="s">
        <v>230</v>
      </c>
      <c r="B91" s="13" t="s">
        <v>231</v>
      </c>
      <c r="C91" s="14"/>
      <c r="D91" s="14"/>
      <c r="E91" s="14"/>
      <c r="F91" s="14"/>
      <c r="G91" s="14"/>
    </row>
    <row r="92" customFormat="false" ht="15" hidden="false" customHeight="false" outlineLevel="0" collapsed="false">
      <c r="A92" s="4" t="s">
        <v>232</v>
      </c>
      <c r="B92" s="15" t="s">
        <v>233</v>
      </c>
      <c r="C92" s="4" t="s">
        <v>43</v>
      </c>
      <c r="D92" s="16" t="n">
        <v>975.2</v>
      </c>
      <c r="E92" s="6" t="n">
        <v>5600</v>
      </c>
      <c r="F92" s="10" t="n">
        <f aca="false">D92*E92</f>
        <v>5461120</v>
      </c>
      <c r="G92" s="17" t="s">
        <v>234</v>
      </c>
    </row>
    <row r="93" customFormat="false" ht="15" hidden="false" customHeight="false" outlineLevel="0" collapsed="false">
      <c r="A93" s="4" t="s">
        <v>235</v>
      </c>
      <c r="B93" s="15" t="s">
        <v>236</v>
      </c>
      <c r="C93" s="4" t="s">
        <v>47</v>
      </c>
      <c r="D93" s="16" t="n">
        <v>515.5</v>
      </c>
      <c r="E93" s="6" t="n">
        <v>7200</v>
      </c>
      <c r="F93" s="10" t="n">
        <f aca="false">D93*E93</f>
        <v>3711600</v>
      </c>
      <c r="G93" s="17" t="s">
        <v>237</v>
      </c>
    </row>
    <row r="94" customFormat="false" ht="15" hidden="false" customHeight="false" outlineLevel="0" collapsed="false">
      <c r="A94" s="4" t="s">
        <v>238</v>
      </c>
      <c r="B94" s="15" t="s">
        <v>239</v>
      </c>
      <c r="C94" s="4" t="s">
        <v>100</v>
      </c>
      <c r="D94" s="16" t="n">
        <v>12</v>
      </c>
      <c r="E94" s="6" t="n">
        <v>62000</v>
      </c>
      <c r="F94" s="10" t="n">
        <f aca="false">D94*E94</f>
        <v>744000</v>
      </c>
      <c r="G94" s="17"/>
    </row>
    <row r="95" customFormat="false" ht="15" hidden="false" customHeight="false" outlineLevel="0" collapsed="false">
      <c r="A95" s="4" t="s">
        <v>240</v>
      </c>
      <c r="B95" s="15" t="s">
        <v>241</v>
      </c>
      <c r="C95" s="4" t="s">
        <v>43</v>
      </c>
      <c r="D95" s="16" t="n">
        <v>1107.3</v>
      </c>
      <c r="E95" s="6" t="n">
        <v>2100</v>
      </c>
      <c r="F95" s="10" t="n">
        <f aca="false">D95*E95</f>
        <v>2325330</v>
      </c>
      <c r="G95" s="17" t="s">
        <v>242</v>
      </c>
    </row>
    <row r="96" customFormat="false" ht="15" hidden="false" customHeight="false" outlineLevel="0" collapsed="false">
      <c r="A96" s="18"/>
      <c r="B96" s="19" t="s">
        <v>55</v>
      </c>
      <c r="C96" s="18"/>
      <c r="D96" s="18"/>
      <c r="E96" s="18"/>
      <c r="F96" s="20" t="n">
        <f aca="false">SUM(F92:F95)</f>
        <v>12242050</v>
      </c>
      <c r="G96" s="18"/>
    </row>
    <row r="98" customFormat="false" ht="15" hidden="false" customHeight="false" outlineLevel="0" collapsed="false">
      <c r="A98" s="13" t="s">
        <v>243</v>
      </c>
      <c r="B98" s="13" t="s">
        <v>244</v>
      </c>
      <c r="C98" s="14"/>
      <c r="D98" s="14"/>
      <c r="E98" s="14"/>
      <c r="F98" s="14"/>
      <c r="G98" s="14"/>
    </row>
    <row r="99" customFormat="false" ht="15" hidden="false" customHeight="false" outlineLevel="0" collapsed="false">
      <c r="A99" s="4" t="s">
        <v>245</v>
      </c>
      <c r="B99" s="15" t="s">
        <v>246</v>
      </c>
      <c r="C99" s="4" t="s">
        <v>89</v>
      </c>
      <c r="D99" s="16" t="n">
        <v>1</v>
      </c>
      <c r="E99" s="6" t="n">
        <v>6400000</v>
      </c>
      <c r="F99" s="10" t="n">
        <f aca="false">D99*E99</f>
        <v>6400000</v>
      </c>
      <c r="G99" s="17"/>
    </row>
    <row r="100" customFormat="false" ht="15" hidden="false" customHeight="false" outlineLevel="0" collapsed="false">
      <c r="A100" s="4" t="s">
        <v>247</v>
      </c>
      <c r="B100" s="15" t="s">
        <v>248</v>
      </c>
      <c r="C100" s="4" t="s">
        <v>43</v>
      </c>
      <c r="D100" s="16" t="n">
        <v>2294.1</v>
      </c>
      <c r="E100" s="6" t="n">
        <v>1350</v>
      </c>
      <c r="F100" s="10" t="n">
        <f aca="false">D100*E100</f>
        <v>3097035</v>
      </c>
      <c r="G100" s="17"/>
    </row>
    <row r="101" customFormat="false" ht="15" hidden="false" customHeight="false" outlineLevel="0" collapsed="false">
      <c r="A101" s="4" t="s">
        <v>249</v>
      </c>
      <c r="B101" s="15" t="s">
        <v>250</v>
      </c>
      <c r="C101" s="4" t="s">
        <v>100</v>
      </c>
      <c r="D101" s="16" t="n">
        <v>97</v>
      </c>
      <c r="E101" s="6" t="n">
        <v>38500</v>
      </c>
      <c r="F101" s="10" t="n">
        <f aca="false">D101*E101</f>
        <v>3734500</v>
      </c>
      <c r="G101" s="17"/>
    </row>
    <row r="102" customFormat="false" ht="15" hidden="false" customHeight="false" outlineLevel="0" collapsed="false">
      <c r="A102" s="4" t="s">
        <v>251</v>
      </c>
      <c r="B102" s="15" t="s">
        <v>252</v>
      </c>
      <c r="C102" s="4" t="s">
        <v>89</v>
      </c>
      <c r="D102" s="16" t="n">
        <v>1</v>
      </c>
      <c r="E102" s="6" t="n">
        <v>1200000</v>
      </c>
      <c r="F102" s="10" t="n">
        <f aca="false">D102*E102</f>
        <v>1200000</v>
      </c>
      <c r="G102" s="17"/>
    </row>
    <row r="103" customFormat="false" ht="15" hidden="false" customHeight="false" outlineLevel="0" collapsed="false">
      <c r="A103" s="4" t="s">
        <v>253</v>
      </c>
      <c r="B103" s="15" t="s">
        <v>254</v>
      </c>
      <c r="C103" s="4" t="s">
        <v>43</v>
      </c>
      <c r="D103" s="16" t="n">
        <v>645</v>
      </c>
      <c r="E103" s="6" t="n">
        <v>5900</v>
      </c>
      <c r="F103" s="10" t="n">
        <f aca="false">D103*E103</f>
        <v>3805500</v>
      </c>
      <c r="G103" s="17" t="s">
        <v>255</v>
      </c>
    </row>
    <row r="104" customFormat="false" ht="15" hidden="false" customHeight="false" outlineLevel="0" collapsed="false">
      <c r="A104" s="4" t="s">
        <v>256</v>
      </c>
      <c r="B104" s="15" t="s">
        <v>257</v>
      </c>
      <c r="C104" s="4" t="s">
        <v>100</v>
      </c>
      <c r="D104" s="16" t="n">
        <v>12</v>
      </c>
      <c r="E104" s="6" t="n">
        <v>96000</v>
      </c>
      <c r="F104" s="10" t="n">
        <f aca="false">D104*E104</f>
        <v>1152000</v>
      </c>
      <c r="G104" s="17" t="s">
        <v>258</v>
      </c>
    </row>
    <row r="105" customFormat="false" ht="23.85" hidden="false" customHeight="false" outlineLevel="0" collapsed="false">
      <c r="A105" s="4" t="s">
        <v>259</v>
      </c>
      <c r="B105" s="15" t="s">
        <v>260</v>
      </c>
      <c r="C105" s="4" t="s">
        <v>100</v>
      </c>
      <c r="D105" s="16" t="n">
        <v>2</v>
      </c>
      <c r="E105" s="6" t="n">
        <v>2600000</v>
      </c>
      <c r="F105" s="10" t="n">
        <f aca="false">D105*E105</f>
        <v>5200000</v>
      </c>
      <c r="G105" s="17" t="s">
        <v>261</v>
      </c>
    </row>
    <row r="106" customFormat="false" ht="15" hidden="false" customHeight="false" outlineLevel="0" collapsed="false">
      <c r="A106" s="4" t="s">
        <v>262</v>
      </c>
      <c r="B106" s="15" t="s">
        <v>263</v>
      </c>
      <c r="C106" s="4" t="s">
        <v>89</v>
      </c>
      <c r="D106" s="16" t="n">
        <v>1</v>
      </c>
      <c r="E106" s="6" t="n">
        <v>3400000</v>
      </c>
      <c r="F106" s="10" t="n">
        <f aca="false">D106*E106</f>
        <v>3400000</v>
      </c>
      <c r="G106" s="17" t="s">
        <v>264</v>
      </c>
    </row>
    <row r="107" customFormat="false" ht="15" hidden="false" customHeight="false" outlineLevel="0" collapsed="false">
      <c r="A107" s="18"/>
      <c r="B107" s="19" t="s">
        <v>55</v>
      </c>
      <c r="C107" s="18"/>
      <c r="D107" s="18"/>
      <c r="E107" s="18"/>
      <c r="F107" s="20" t="n">
        <f aca="false">SUM(F99:F106)</f>
        <v>27989035</v>
      </c>
      <c r="G107" s="18"/>
    </row>
    <row r="109" customFormat="false" ht="15" hidden="false" customHeight="false" outlineLevel="0" collapsed="false">
      <c r="A109" s="13" t="s">
        <v>265</v>
      </c>
      <c r="B109" s="13" t="s">
        <v>266</v>
      </c>
      <c r="C109" s="14"/>
      <c r="D109" s="14"/>
      <c r="E109" s="14"/>
      <c r="F109" s="14"/>
      <c r="G109" s="14"/>
    </row>
    <row r="110" customFormat="false" ht="15" hidden="false" customHeight="false" outlineLevel="0" collapsed="false">
      <c r="A110" s="4" t="s">
        <v>267</v>
      </c>
      <c r="B110" s="15" t="s">
        <v>268</v>
      </c>
      <c r="C110" s="4" t="s">
        <v>100</v>
      </c>
      <c r="D110" s="16" t="n">
        <v>51</v>
      </c>
      <c r="E110" s="6" t="n">
        <v>42000</v>
      </c>
      <c r="F110" s="10" t="n">
        <f aca="false">D110*E110</f>
        <v>2142000</v>
      </c>
      <c r="G110" s="17"/>
    </row>
    <row r="111" customFormat="false" ht="15" hidden="false" customHeight="false" outlineLevel="0" collapsed="false">
      <c r="A111" s="4" t="s">
        <v>269</v>
      </c>
      <c r="B111" s="15" t="s">
        <v>270</v>
      </c>
      <c r="C111" s="4" t="s">
        <v>100</v>
      </c>
      <c r="D111" s="16" t="n">
        <v>26</v>
      </c>
      <c r="E111" s="6" t="n">
        <v>11500</v>
      </c>
      <c r="F111" s="10" t="n">
        <f aca="false">D111*E111</f>
        <v>299000</v>
      </c>
      <c r="G111" s="17"/>
    </row>
    <row r="112" customFormat="false" ht="15" hidden="false" customHeight="false" outlineLevel="0" collapsed="false">
      <c r="A112" s="4" t="s">
        <v>271</v>
      </c>
      <c r="B112" s="15" t="s">
        <v>272</v>
      </c>
      <c r="C112" s="4" t="s">
        <v>100</v>
      </c>
      <c r="D112" s="16" t="n">
        <v>22</v>
      </c>
      <c r="E112" s="6" t="n">
        <v>46000</v>
      </c>
      <c r="F112" s="10" t="n">
        <f aca="false">D112*E112</f>
        <v>1012000</v>
      </c>
      <c r="G112" s="17"/>
    </row>
    <row r="113" customFormat="false" ht="15" hidden="false" customHeight="false" outlineLevel="0" collapsed="false">
      <c r="A113" s="4" t="s">
        <v>273</v>
      </c>
      <c r="B113" s="15" t="s">
        <v>274</v>
      </c>
      <c r="C113" s="4" t="s">
        <v>100</v>
      </c>
      <c r="D113" s="16" t="n">
        <v>5</v>
      </c>
      <c r="E113" s="6" t="n">
        <v>36000</v>
      </c>
      <c r="F113" s="10" t="n">
        <f aca="false">D113*E113</f>
        <v>180000</v>
      </c>
      <c r="G113" s="17"/>
    </row>
    <row r="114" customFormat="false" ht="15" hidden="false" customHeight="false" outlineLevel="0" collapsed="false">
      <c r="A114" s="4" t="s">
        <v>275</v>
      </c>
      <c r="B114" s="15" t="s">
        <v>276</v>
      </c>
      <c r="C114" s="4" t="s">
        <v>100</v>
      </c>
      <c r="D114" s="16" t="n">
        <v>6</v>
      </c>
      <c r="E114" s="6" t="n">
        <v>84000</v>
      </c>
      <c r="F114" s="10" t="n">
        <f aca="false">D114*E114</f>
        <v>504000</v>
      </c>
      <c r="G114" s="17"/>
    </row>
    <row r="115" customFormat="false" ht="15" hidden="false" customHeight="false" outlineLevel="0" collapsed="false">
      <c r="A115" s="4" t="s">
        <v>277</v>
      </c>
      <c r="B115" s="15" t="s">
        <v>278</v>
      </c>
      <c r="C115" s="4" t="s">
        <v>100</v>
      </c>
      <c r="D115" s="16" t="n">
        <v>60</v>
      </c>
      <c r="E115" s="6" t="n">
        <v>5200</v>
      </c>
      <c r="F115" s="10" t="n">
        <f aca="false">D115*E115</f>
        <v>312000</v>
      </c>
      <c r="G115" s="17"/>
    </row>
    <row r="116" customFormat="false" ht="15" hidden="false" customHeight="false" outlineLevel="0" collapsed="false">
      <c r="A116" s="4" t="s">
        <v>279</v>
      </c>
      <c r="B116" s="15" t="s">
        <v>280</v>
      </c>
      <c r="C116" s="4" t="s">
        <v>100</v>
      </c>
      <c r="D116" s="16" t="n">
        <v>3</v>
      </c>
      <c r="E116" s="6" t="n">
        <v>1450000</v>
      </c>
      <c r="F116" s="10" t="n">
        <f aca="false">D116*E116</f>
        <v>4350000</v>
      </c>
      <c r="G116" s="17" t="s">
        <v>281</v>
      </c>
    </row>
    <row r="117" customFormat="false" ht="15" hidden="false" customHeight="false" outlineLevel="0" collapsed="false">
      <c r="A117" s="4" t="s">
        <v>282</v>
      </c>
      <c r="B117" s="15" t="s">
        <v>283</v>
      </c>
      <c r="C117" s="4" t="s">
        <v>100</v>
      </c>
      <c r="D117" s="16" t="n">
        <v>6</v>
      </c>
      <c r="E117" s="6" t="n">
        <v>65000</v>
      </c>
      <c r="F117" s="10" t="n">
        <f aca="false">D117*E117</f>
        <v>390000</v>
      </c>
      <c r="G117" s="17" t="s">
        <v>284</v>
      </c>
    </row>
    <row r="118" customFormat="false" ht="23.85" hidden="false" customHeight="false" outlineLevel="0" collapsed="false">
      <c r="A118" s="4" t="s">
        <v>285</v>
      </c>
      <c r="B118" s="15" t="s">
        <v>286</v>
      </c>
      <c r="C118" s="4" t="s">
        <v>89</v>
      </c>
      <c r="D118" s="16" t="n">
        <v>1</v>
      </c>
      <c r="E118" s="6" t="n">
        <v>2400000</v>
      </c>
      <c r="F118" s="10" t="n">
        <f aca="false">D118*E118</f>
        <v>2400000</v>
      </c>
      <c r="G118" s="17" t="s">
        <v>287</v>
      </c>
    </row>
    <row r="119" customFormat="false" ht="15" hidden="false" customHeight="false" outlineLevel="0" collapsed="false">
      <c r="A119" s="4" t="s">
        <v>288</v>
      </c>
      <c r="B119" s="15" t="s">
        <v>289</v>
      </c>
      <c r="C119" s="4" t="s">
        <v>89</v>
      </c>
      <c r="D119" s="16" t="n">
        <v>4</v>
      </c>
      <c r="E119" s="6" t="n">
        <v>480000</v>
      </c>
      <c r="F119" s="10" t="n">
        <f aca="false">D119*E119</f>
        <v>1920000</v>
      </c>
      <c r="G119" s="17" t="s">
        <v>290</v>
      </c>
    </row>
    <row r="120" customFormat="false" ht="15" hidden="false" customHeight="false" outlineLevel="0" collapsed="false">
      <c r="A120" s="18"/>
      <c r="B120" s="19" t="s">
        <v>55</v>
      </c>
      <c r="C120" s="18"/>
      <c r="D120" s="18"/>
      <c r="E120" s="18"/>
      <c r="F120" s="20" t="n">
        <f aca="false">SUM(F110:F119)</f>
        <v>13509000</v>
      </c>
      <c r="G120" s="18"/>
    </row>
    <row r="122" customFormat="false" ht="15" hidden="false" customHeight="false" outlineLevel="0" collapsed="false">
      <c r="A122" s="13" t="s">
        <v>291</v>
      </c>
      <c r="B122" s="13" t="s">
        <v>292</v>
      </c>
      <c r="C122" s="14"/>
      <c r="D122" s="14"/>
      <c r="E122" s="14"/>
      <c r="F122" s="14"/>
      <c r="G122" s="14"/>
    </row>
    <row r="123" customFormat="false" ht="23.85" hidden="false" customHeight="false" outlineLevel="0" collapsed="false">
      <c r="A123" s="4" t="s">
        <v>293</v>
      </c>
      <c r="B123" s="15" t="s">
        <v>294</v>
      </c>
      <c r="C123" s="4" t="s">
        <v>47</v>
      </c>
      <c r="D123" s="16" t="n">
        <v>585</v>
      </c>
      <c r="E123" s="6" t="n">
        <v>148000</v>
      </c>
      <c r="F123" s="10" t="n">
        <f aca="false">D123*E123</f>
        <v>86580000</v>
      </c>
      <c r="G123" s="17" t="s">
        <v>295</v>
      </c>
    </row>
    <row r="124" customFormat="false" ht="15" hidden="false" customHeight="false" outlineLevel="0" collapsed="false">
      <c r="A124" s="4" t="s">
        <v>296</v>
      </c>
      <c r="B124" s="15" t="s">
        <v>297</v>
      </c>
      <c r="C124" s="4" t="s">
        <v>89</v>
      </c>
      <c r="D124" s="16" t="n">
        <v>1</v>
      </c>
      <c r="E124" s="6" t="n">
        <v>21500000</v>
      </c>
      <c r="F124" s="10" t="n">
        <f aca="false">D124*E124</f>
        <v>21500000</v>
      </c>
      <c r="G124" s="17" t="s">
        <v>298</v>
      </c>
    </row>
    <row r="125" customFormat="false" ht="15" hidden="false" customHeight="false" outlineLevel="0" collapsed="false">
      <c r="A125" s="4" t="s">
        <v>299</v>
      </c>
      <c r="B125" s="15" t="s">
        <v>300</v>
      </c>
      <c r="C125" s="4" t="s">
        <v>89</v>
      </c>
      <c r="D125" s="16" t="n">
        <v>1</v>
      </c>
      <c r="E125" s="6" t="n">
        <v>14000000</v>
      </c>
      <c r="F125" s="10" t="n">
        <f aca="false">D125*E125</f>
        <v>14000000</v>
      </c>
      <c r="G125" s="17" t="s">
        <v>301</v>
      </c>
    </row>
    <row r="126" customFormat="false" ht="15" hidden="false" customHeight="false" outlineLevel="0" collapsed="false">
      <c r="A126" s="4" t="s">
        <v>302</v>
      </c>
      <c r="B126" s="15" t="s">
        <v>303</v>
      </c>
      <c r="C126" s="4" t="s">
        <v>47</v>
      </c>
      <c r="D126" s="16" t="n">
        <v>143</v>
      </c>
      <c r="E126" s="6" t="n">
        <v>36000</v>
      </c>
      <c r="F126" s="10" t="n">
        <f aca="false">D126*E126</f>
        <v>5148000</v>
      </c>
      <c r="G126" s="17" t="s">
        <v>304</v>
      </c>
    </row>
    <row r="127" customFormat="false" ht="15" hidden="false" customHeight="false" outlineLevel="0" collapsed="false">
      <c r="A127" s="18"/>
      <c r="B127" s="19" t="s">
        <v>55</v>
      </c>
      <c r="C127" s="18"/>
      <c r="D127" s="18"/>
      <c r="E127" s="18"/>
      <c r="F127" s="20" t="n">
        <f aca="false">SUM(F123:F126)</f>
        <v>127228000</v>
      </c>
      <c r="G127" s="18"/>
    </row>
    <row r="129" customFormat="false" ht="15" hidden="false" customHeight="false" outlineLevel="0" collapsed="false">
      <c r="B129" s="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2026-10-14T11:58:44Z</dcterms:created>
  <dc:creator>openpyxl</dc:creator>
  <dc:description/>
  <dc:language>en-US</dc:language>
  <cp:lastModifiedBy/>
  <dcterms:modified xsi:type="dcterms:W3CDTF">2026-10-14T11:58:44Z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